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har Dwaikat\OneDrive\Desktop\API PROJECT\"/>
    </mc:Choice>
  </mc:AlternateContent>
  <bookViews>
    <workbookView xWindow="0" yWindow="0" windowWidth="19545" windowHeight="7440" tabRatio="500" activeTab="1"/>
  </bookViews>
  <sheets>
    <sheet name="Summary Report " sheetId="3" r:id="rId1"/>
    <sheet name="API Test Cases" sheetId="1" r:id="rId2"/>
    <sheet name="Bug Report " sheetId="2" r:id="rId3"/>
  </sheets>
  <externalReferences>
    <externalReference r:id="rId4"/>
  </externalReferences>
  <definedNames>
    <definedName name="_xlnm._FilterDatabase" localSheetId="1" hidden="1">'API Test Cases'!$A$1:$N$54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6" i="3"/>
  <c r="D27" i="3"/>
  <c r="D28" i="3"/>
  <c r="D29" i="3"/>
  <c r="D30" i="3"/>
  <c r="D31" i="3"/>
  <c r="D24" i="3"/>
  <c r="C25" i="3"/>
  <c r="C26" i="3"/>
  <c r="C27" i="3"/>
  <c r="C28" i="3"/>
  <c r="C29" i="3"/>
  <c r="C30" i="3"/>
  <c r="C31" i="3"/>
  <c r="C24" i="3"/>
  <c r="B24" i="3"/>
  <c r="B25" i="3"/>
  <c r="B26" i="3"/>
  <c r="B27" i="3"/>
  <c r="B28" i="3"/>
  <c r="B29" i="3"/>
  <c r="B30" i="3"/>
  <c r="B31" i="3"/>
  <c r="F19" i="3"/>
  <c r="H19" i="3" s="1"/>
  <c r="F18" i="3"/>
  <c r="H18" i="3" s="1"/>
  <c r="F17" i="3"/>
  <c r="H17" i="3" s="1"/>
  <c r="B18" i="3"/>
  <c r="B17" i="3"/>
  <c r="G20" i="3"/>
  <c r="D32" i="3" l="1"/>
  <c r="B32" i="3"/>
  <c r="E28" i="3" s="1"/>
  <c r="C32" i="3"/>
  <c r="H20" i="3"/>
  <c r="F20" i="3"/>
  <c r="B20" i="3"/>
  <c r="C17" i="3" s="1"/>
  <c r="E31" i="3" l="1"/>
  <c r="E24" i="3"/>
  <c r="E25" i="3"/>
  <c r="E30" i="3"/>
  <c r="E32" i="3"/>
  <c r="E29" i="3"/>
  <c r="E27" i="3"/>
  <c r="E26" i="3"/>
  <c r="C18" i="3"/>
  <c r="C19" i="3"/>
  <c r="C20" i="3" l="1"/>
</calcChain>
</file>

<file path=xl/sharedStrings.xml><?xml version="1.0" encoding="utf-8"?>
<sst xmlns="http://schemas.openxmlformats.org/spreadsheetml/2006/main" count="1602" uniqueCount="757">
  <si>
    <t>Test Case ID</t>
  </si>
  <si>
    <t>Module / Endpoint</t>
  </si>
  <si>
    <t>Test Scenario</t>
  </si>
  <si>
    <t>Test Type</t>
  </si>
  <si>
    <t>HTTP Method</t>
  </si>
  <si>
    <t>URL / Endpoint</t>
  </si>
  <si>
    <t>Headers</t>
  </si>
  <si>
    <t>Request Body / Parameters</t>
  </si>
  <si>
    <t>Preconditions</t>
  </si>
  <si>
    <t>Test Steps</t>
  </si>
  <si>
    <t>Expected Result</t>
  </si>
  <si>
    <t>Actual Result</t>
  </si>
  <si>
    <t>Status</t>
  </si>
  <si>
    <t>Defect ID</t>
  </si>
  <si>
    <t>TC-001</t>
  </si>
  <si>
    <t>Booking Retrieval</t>
  </si>
  <si>
    <t>Get all booking IDs</t>
  </si>
  <si>
    <t>Positive</t>
  </si>
  <si>
    <t>GET</t>
  </si>
  <si>
    <t>https://restful-booker.herokuapp.com/booking</t>
  </si>
  <si>
    <t>Accept: application/json</t>
  </si>
  <si>
    <t>None</t>
  </si>
  <si>
    <t>At least one booking exists in the system.</t>
  </si>
  <si>
    <t>1. Send GET request to /booking
2. Inspect response</t>
  </si>
  <si>
    <t>Status 200 OK; response body is a JSON array of objects each containing a 'bookingid' field</t>
  </si>
  <si>
    <t xml:space="preserve">As expected Result </t>
  </si>
  <si>
    <t>Pass</t>
  </si>
  <si>
    <t>TC-002</t>
  </si>
  <si>
    <t>Get booking by valid ID</t>
  </si>
  <si>
    <t>https://restful-booker.herokuapp.com/booking/{bookingid}</t>
  </si>
  <si>
    <t xml:space="preserve">  bookingid </t>
  </si>
  <si>
    <t>A booking with a known ID exists (create via POST /booking first).</t>
  </si>
  <si>
    <t>1. Send GET request to /booking/{bookingid} using a valid ID
2. Inspect response</t>
  </si>
  <si>
    <t>Status 200 OK; response body contains firstname, lastname, totalprice, depositpaid, bookingdates, additionalneeds matching the created booking</t>
  </si>
  <si>
    <t>TC-003</t>
  </si>
  <si>
    <t>Filter bookings by valid firstname</t>
  </si>
  <si>
    <t>https://restful-booker.herokuapp.com/booking?firstname=Jim</t>
  </si>
  <si>
    <t xml:space="preserve"> firstname=Jim</t>
  </si>
  <si>
    <t>A booking with firstname 'Jim' exists.</t>
  </si>
  <si>
    <t>1. Send GET /booking?firstname=Jim
2. Inspect returned list</t>
  </si>
  <si>
    <t>Status 200 OK; all returned booking IDs correspond to bookings with firstname 'Jim' when individually fetched</t>
  </si>
  <si>
    <t>TC-004</t>
  </si>
  <si>
    <t>Filter bookings by valid lastname</t>
  </si>
  <si>
    <t>https://restful-booker.herokuapp.com/booking?lastname=Brown</t>
  </si>
  <si>
    <t>lastname=Brown</t>
  </si>
  <si>
    <t>A booking with lastname 'Brown' exists.</t>
  </si>
  <si>
    <t>1. Send GET /booking?lastname=Brown
2. Inspect returned list</t>
  </si>
  <si>
    <t>Status 200 OK; returned bookings match lastname filter</t>
  </si>
  <si>
    <t>TC-005</t>
  </si>
  <si>
    <t>Filter bookings by firstname AND lastname</t>
  </si>
  <si>
    <t>https://restful-booker.herokuapp.com/booking?firstname=Jim&amp;lastname=Brown</t>
  </si>
  <si>
    <t>firstname=Jim, lastname=Brown</t>
  </si>
  <si>
    <t>Booking(s) matching both filters exist.</t>
  </si>
  <si>
    <t>1. Send GET /booking?firstname=Jim&amp;lastname=Brown
2. Inspect returned list</t>
  </si>
  <si>
    <t>Status 200 OK; only bookings matching both filters are returned</t>
  </si>
  <si>
    <t>TC-006</t>
  </si>
  <si>
    <t>Filter bookings by checkin date</t>
  </si>
  <si>
    <t>https://restful-booker.herokuapp.com/booking?checkin=2022-01-01</t>
  </si>
  <si>
    <t>checkin=2022-01-01</t>
  </si>
  <si>
    <t>Booking(s) with this checkin date exist.</t>
  </si>
  <si>
    <t>1. Send GET /booking?checkin=2022-01-01
2. Inspect returned list</t>
  </si>
  <si>
    <t>Status 200 OK; returned bookings have checkin date on/after 2022-01-01</t>
  </si>
  <si>
    <t>TC-007</t>
  </si>
  <si>
    <t>Filter bookings by checkout date</t>
  </si>
  <si>
    <t>https://restful-booker.herokuapp.com/booking?checkout=2022-01-31</t>
  </si>
  <si>
    <t>checkout=2022-01-31</t>
  </si>
  <si>
    <t>Booking(s) with this checkout date exist.</t>
  </si>
  <si>
    <t>1. Send GET /booking?checkout=2022-01-31
2. Inspect returned list</t>
  </si>
  <si>
    <t>Status 200 OK; returned bookings have checkout date on/before 2022-01-31</t>
  </si>
  <si>
    <t>TC-008</t>
  </si>
  <si>
    <t>Filter bookings by checkin AND checkout range</t>
  </si>
  <si>
    <t>https://restful-booker.herokuapp.com/booking?checkin=2022-01-01&amp;checkout=2022-01-31</t>
  </si>
  <si>
    <t>checkin=2022-01-01, checkout=2022-01-31</t>
  </si>
  <si>
    <t>Booking(s) within this date range exist.</t>
  </si>
  <si>
    <t>1. Send GET /booking?checkin=2022-01-01&amp;checkout=2022-01-31
2. Inspect returned list</t>
  </si>
  <si>
    <t>Status 200 OK; only bookings within the date range are returned</t>
  </si>
  <si>
    <t>TC-009</t>
  </si>
  <si>
    <t>Filter bookings by checkin AND checkout range( checkin date after ( &gt; )checkout date )</t>
  </si>
  <si>
    <t>Negative</t>
  </si>
  <si>
    <t>https://restful-booker.herokuapp.com/booking?checkin=2022-01-31&amp;checkout=2022-01-01</t>
  </si>
  <si>
    <t>checkin=2022-01-31, checkout=2022-01-01</t>
  </si>
  <si>
    <t>1. Send GET /booking?checkin=2022-01-31&amp;checkout=2022-01-01
2. Inspect returned list</t>
  </si>
  <si>
    <t>Bad request 400 ( invalid input data)</t>
  </si>
  <si>
    <t>status 200 , no booking data returned</t>
  </si>
  <si>
    <t>Fail</t>
  </si>
  <si>
    <t>DEF-001</t>
  </si>
  <si>
    <t>TC-010</t>
  </si>
  <si>
    <t>Get booking by non-existent ID</t>
  </si>
  <si>
    <t>https://restful-booker.herokuapp.com/booking/999999999</t>
  </si>
  <si>
    <t xml:space="preserve">  bookingid=999999999</t>
  </si>
  <si>
    <t>None.</t>
  </si>
  <si>
    <t>1. Send GET /booking/999999999
2. Inspect response</t>
  </si>
  <si>
    <t>Status 404 Not Found; no booking data returned</t>
  </si>
  <si>
    <t>TC-011</t>
  </si>
  <si>
    <t>Get booking using non-numeric ID</t>
  </si>
  <si>
    <t>https://restful-booker.herokuapp.com/booking/sahar</t>
  </si>
  <si>
    <t xml:space="preserve">  bookingid=sahar</t>
  </si>
  <si>
    <t>1. Send GET /booking/sahar
2. Inspect response</t>
  </si>
  <si>
    <t>Status 404 Not Found (API should reject non-numeric ID gracefully)</t>
  </si>
  <si>
    <t>TC-012</t>
  </si>
  <si>
    <t>Search with a name that does not exist</t>
  </si>
  <si>
    <t>https://restful-booker.herokuapp.com/booking?firstname=XYZ123</t>
  </si>
  <si>
    <t>firstname=XYZ123</t>
  </si>
  <si>
    <t>1. Send GET /booking?firstname=XYZ123
2. Inspect response</t>
  </si>
  <si>
    <t>Status 200 OK; response body is an empty array []</t>
  </si>
  <si>
    <t>TC-013</t>
  </si>
  <si>
    <t>Get booking with negative ID</t>
  </si>
  <si>
    <t>https://restful-booker.herokuapp.com/booking/-1</t>
  </si>
  <si>
    <t xml:space="preserve">  bookingid=-1</t>
  </si>
  <si>
    <t>1. Send GET /booking/-1
2. Inspect response</t>
  </si>
  <si>
    <t>Status 404 Not Found</t>
  </si>
  <si>
    <t>TC-014</t>
  </si>
  <si>
    <t>Get booking with unsupported HTTP method</t>
  </si>
  <si>
    <t>POST</t>
  </si>
  <si>
    <t xml:space="preserve">  bookingid=&lt;valid ID&gt;</t>
  </si>
  <si>
    <t>A booking exists.</t>
  </si>
  <si>
    <t>1. Send POST to /booking/{bookingid} (GET-only style endpoint misused)
2. Inspect response</t>
  </si>
  <si>
    <t>Status 404 or 405; endpoint does not support POST for retrieval by ID</t>
  </si>
  <si>
    <t>TC-015</t>
  </si>
  <si>
    <t>Get booking with ID = 0</t>
  </si>
  <si>
    <t>Boundary</t>
  </si>
  <si>
    <t>https://restful-booker.herokuapp.com/booking/0</t>
  </si>
  <si>
    <t xml:space="preserve">  bookingid=0</t>
  </si>
  <si>
    <t>1. Send GET /booking/0
2. Inspect response</t>
  </si>
  <si>
    <t>Status 404 Not Found (0 is not a valid assigned booking ID)</t>
  </si>
  <si>
    <t>TC-016</t>
  </si>
  <si>
    <t>Get booking with maximum integer ID boundary</t>
  </si>
  <si>
    <t>https://restful-booker.herokuapp.com/booking/2147483647</t>
  </si>
  <si>
    <t xml:space="preserve">  bookingid=2147483647 (max 32-bit int)</t>
  </si>
  <si>
    <t>1. Send GET /booking/2147483647
2. Inspect response</t>
  </si>
  <si>
    <t>API handles large ID gracefully; Status 404 Not Found</t>
  </si>
  <si>
    <t>TC-017</t>
  </si>
  <si>
    <t>Filter with empty firstname value</t>
  </si>
  <si>
    <t>https://restful-booker.herokuapp.com/booking?firstname=</t>
  </si>
  <si>
    <t>firstname= (empty string)</t>
  </si>
  <si>
    <t>1. Send GET /booking?firstname=
2. Inspect response</t>
  </si>
  <si>
    <t>Status 200 OK; API either returns all bookings or an empty array — document actual behavior</t>
  </si>
  <si>
    <t>TC-018</t>
  </si>
  <si>
    <t>Filter with different  date format</t>
  </si>
  <si>
    <t>https://restful-booker.herokuapp.com/booking?checkin=01-01-2026</t>
  </si>
  <si>
    <t>checkin=01-01-2022,( right YYYY-MM-DD)</t>
  </si>
  <si>
    <t>1. Send GET with different format date
2. Inspect response</t>
  </si>
  <si>
    <t xml:space="preserve">InternalServerError 500 </t>
  </si>
  <si>
    <t>DEF-002</t>
  </si>
  <si>
    <t>TC-019</t>
  </si>
  <si>
    <t>Validate response schema for GET /booking/{id}</t>
  </si>
  <si>
    <t>Data Validation</t>
  </si>
  <si>
    <t>A booking exists with known field values.</t>
  </si>
  <si>
    <t>1. Send GET /booking/{bookingid}
2. Validate each field type and value in response</t>
  </si>
  <si>
    <t>firstname/lastname are strings; totalprice is a number; depositpaid is boolean; bookingdates.checkin/checkout are valid date strings; additionalneeds is a string or absent</t>
  </si>
  <si>
    <t>TC-020</t>
  </si>
  <si>
    <t>Validate bookingid list contains only integers</t>
  </si>
  <si>
    <t>Bookings exist in the system.</t>
  </si>
  <si>
    <t>1. Send GET /booking
2. Validate each item's bookingid field type</t>
  </si>
  <si>
    <t>Every element in the response array has a bookingid field of type integer</t>
  </si>
  <si>
    <t>TC-021</t>
  </si>
  <si>
    <t>Validate no unexpected/extra fields in response</t>
  </si>
  <si>
    <t>1. Send GET /booking/{bookingid}
2. Compare response keys against expected schema</t>
  </si>
  <si>
    <t>Response contains only expected keys: firstname, lastname, totalprice, depositpaid, bookingdates, additionalneeds</t>
  </si>
  <si>
    <t>TC-022</t>
  </si>
  <si>
    <t>Verify status code 200 for successful retrieval</t>
  </si>
  <si>
    <t>Status Code Validation</t>
  </si>
  <si>
    <t>1. Send GET /booking/{bookingid}
2. Check HTTP status code</t>
  </si>
  <si>
    <t>Response status code is exactly 200</t>
  </si>
  <si>
    <t>TC-023</t>
  </si>
  <si>
    <t>Verify status code 404 for non-existent booking</t>
  </si>
  <si>
    <t>1. Send GET /booking/999999999
2. Check HTTP status code</t>
  </si>
  <si>
    <t>Response status code is exactly 404</t>
  </si>
  <si>
    <t>TC-024</t>
  </si>
  <si>
    <t>Verify status code 200 for GET /booking with filters returning empty results</t>
  </si>
  <si>
    <t>https://restful-booker.herokuapp.com/booking?firstname=NoMatch999</t>
  </si>
  <si>
    <t>firstname=NoMatch999</t>
  </si>
  <si>
    <t>1. Send GET with a filter matching no records
2. Check HTTP status code</t>
  </si>
  <si>
    <t>Response status code is 200 even when result set is empty (not 404)</t>
  </si>
  <si>
    <t>TC-025</t>
  </si>
  <si>
    <t>Validate response body matches created booking data exactly</t>
  </si>
  <si>
    <t>Response Body Validation</t>
  </si>
  <si>
    <t xml:space="preserve">  bookingid=&lt;ID of a booking created via POST with known data&gt;</t>
  </si>
  <si>
    <t>A booking was created with known field values via POST /booking.</t>
  </si>
  <si>
    <t>1. Create a booking via POST, capture request payload
2. Send GET /booking/{bookingid}
3. Compare response body field-by-field against original payload</t>
  </si>
  <si>
    <t>All fields in response body (firstname, lastname, totalprice, depositpaid, bookingdates, additionalneeds) exactly match the original POST payload</t>
  </si>
  <si>
    <t>TC-026</t>
  </si>
  <si>
    <t>Validate nested bookingdates object structure</t>
  </si>
  <si>
    <t>1. Send GET /booking/{bookingid}
2. Inspect bookingdates nested object</t>
  </si>
  <si>
    <t>bookingdates object contains valid 'checkin' and 'checkout' keys in YYYY-MM-DD format</t>
  </si>
  <si>
    <t>TC-027</t>
  </si>
  <si>
    <t>Verify response time for GET /booking/{id} is within SLA</t>
  </si>
  <si>
    <t>Response Time</t>
  </si>
  <si>
    <t>1. Send GET /booking/{bookingid}
2. Record response time</t>
  </si>
  <si>
    <t>Response time is under 1000 ms (adjust SLA threshold per project requirements)</t>
  </si>
  <si>
    <t>pass</t>
  </si>
  <si>
    <t>TC-028</t>
  </si>
  <si>
    <t>Booking Update</t>
  </si>
  <si>
    <t>Full update (PUT) with valid token and complete data</t>
  </si>
  <si>
    <t>PUT</t>
  </si>
  <si>
    <t>Content-Type: application/json, Accept: application/json, Cookie: token=&lt;valid_token&gt;</t>
  </si>
  <si>
    <t>{
    "firstname": "updtaed",
    "lastname": "updated ",
    "totalprice": 103,
    "depositpaid": false,
    "bookingdates": {
        "checkin": "2025-08-17",
        "checkout": "2026-01-02"
    },
    "additionalneeds": "updated "
}</t>
  </si>
  <si>
    <t>A booking exists; a valid auth token has been generated via POST /auth.</t>
  </si>
  <si>
    <t>1. Send PUT /booking/{bookingid} with valid token and full payload
2. Inspect response
3. GET the booking to confirm persistence</t>
  </si>
  <si>
    <t xml:space="preserve">Status 200 OK; response body reflects all updated fields exactly; GET confirms persisted changes and valid Token </t>
  </si>
  <si>
    <t>TC-029</t>
  </si>
  <si>
    <t>Partial update (PATCH) with valid token, single field</t>
  </si>
  <si>
    <t>PATCH</t>
  </si>
  <si>
    <t>"firstname": "updtaed222222",</t>
  </si>
  <si>
    <t>A booking exists; a valid auth token has been generated.</t>
  </si>
  <si>
    <t>1. Send PATCH /booking/{bookingid} updating only first name
2. Inspect response
3. GET the booking to confirm only totalprice changed</t>
  </si>
  <si>
    <t>Status 200 oK; first name  only  updated; all other fields remain unchanged</t>
  </si>
  <si>
    <t>TC-030</t>
  </si>
  <si>
    <t>Partial update (PATCH) of  bookingdates object</t>
  </si>
  <si>
    <t>Content-Type: application/json, Cookie: token=&lt;valid_token&gt;</t>
  </si>
  <si>
    <t>{"bookingdates":{"checkin":"2026-11-01","checkout":"2026-11-05"}}</t>
  </si>
  <si>
    <t>1. Send PATCH /booking/{bookingid} updating only bookingdates
2. Inspect response
3. GET to confirm other fields unchanged</t>
  </si>
  <si>
    <t>Status 200 OK; only bookingdates updated; firstname/lastname/totalprice/depositpaid/additionalneeds unchanged</t>
  </si>
  <si>
    <t>TC-031</t>
  </si>
  <si>
    <t>Full update (PUT) using Basic Auth instead of token cookie</t>
  </si>
  <si>
    <t>Authorization: Basic YWRtaW46cGFzc3dvcmQxMjM=, Content-Type: application/json</t>
  </si>
  <si>
    <t>{"firstname":"Alice","lastname":"Green","totalprice":300,"depositpaid":false,"bookingdates":{"checkin":"2026-08-01","checkout":"2026-08-10"},"additionalneeds":"None"}</t>
  </si>
  <si>
    <t>1. Send PUT /booking/{bookingid} using Basic Auth header instead of Cookie token
2. Inspect response</t>
  </si>
  <si>
    <t>Status 200 OK; Basic Auth accepted as a valid alternative to token cookie , and data updated</t>
  </si>
  <si>
    <t>TC-032</t>
  </si>
  <si>
    <t>Update without authorization (no token/header)</t>
  </si>
  <si>
    <t>Content-Type: application/json (no Cookie/Authorization)</t>
  </si>
  <si>
    <t>{    "firstname": "without auth - no updated",
    "lastname": "basic auth ",
    "totalprice": 123,
    "depositpaid": false,
    "bookingdates": {
        "checkin": "2025-08-16",
        "checkout": "2026-01-04"
    },
    "additionalneeds": "basic auth "
}</t>
  </si>
  <si>
    <t>1. Send PUT /booking/{bookingid} with no auth header
2. Inspect response
3. GET to confirm data unchanged</t>
  </si>
  <si>
    <t>Status 403 Forbidden; booking data remains unchanged</t>
  </si>
  <si>
    <t>TC-033</t>
  </si>
  <si>
    <t>Update with invalid or expired token</t>
  </si>
  <si>
    <t>Cookie: token=invalidtoken123, Content-Type: application/json</t>
  </si>
  <si>
    <t>{
    "firstname": "invalid auth - no updated",
    "lastname": "basic auth ",
    "totalprice": 123,
    "depositpaid": false,
    "bookingdates": {
        "checkin": "2025-08-16",
        "checkout": "2026-01-04"
    },
    "additionalneeds": "basic auth "
}</t>
  </si>
  <si>
    <t>1. Send PUT /booking/{bookingid} with a malformed/invalid token
2. Inspect response</t>
  </si>
  <si>
    <t>Status 403 Forbidden</t>
  </si>
  <si>
    <t>PASS</t>
  </si>
  <si>
    <t>TC-034</t>
  </si>
  <si>
    <t>Update non-existent booking ID</t>
  </si>
  <si>
    <t>Cookie: token=&lt;valid_token&gt;, Content-Type: application/json</t>
  </si>
  <si>
    <t>{
    "firstname": "NON- EXIST ID  ",
    "lastname": "basic auth ",
    "totalprice": 123,
    "depositpaid": false,
    "bookingdates": {
        "checkin": "2025-08-16",
        "checkout": "2026-01-04"
    },
    "additionalneeds": "basic auth "
}</t>
  </si>
  <si>
    <t>None; ID does not correspond to any booking.</t>
  </si>
  <si>
    <t>1. Send PUT /booking/999999999 with a valid token and full payload
2. Inspect response</t>
  </si>
  <si>
    <t xml:space="preserve">Status 405 Method Not Allowed </t>
  </si>
  <si>
    <t>TC-035</t>
  </si>
  <si>
    <t>PUT with invalid JSON body</t>
  </si>
  <si>
    <t>{
    "firstname": 9999999,
    "lastname": *********,
    "totalprice": &amp;&amp;&amp;&amp;&amp;&amp;&amp;&amp;&amp;,
    "depositpaid": false,
    "bookingdates": {
        "checkin": "2025-08-16",
        "checkout": "2026-01-04"
    },
    "additionalneeds": "basic auth "
}</t>
  </si>
  <si>
    <t>1. Send PUT /booking/{bookingid} with syntactically broken JSON
2. Inspect response</t>
  </si>
  <si>
    <t>Status 400 Bad Request</t>
  </si>
  <si>
    <t>TC-036</t>
  </si>
  <si>
    <t>PUT with missing required fields</t>
  </si>
  <si>
    <t>{"firstname":"OnlyFirstName"}</t>
  </si>
  <si>
    <t>1. Send PUT /booking/{bookingid} omitting lastname, totalprice, depositpaid, bookingdates
2. Inspect response</t>
  </si>
  <si>
    <t xml:space="preserve">Bad request 400 </t>
  </si>
  <si>
    <t>TC-037</t>
  </si>
  <si>
    <t>PATCH  &amp; put with completely empty body</t>
  </si>
  <si>
    <t>{}</t>
  </si>
  <si>
    <t>1. Send PATCH /booking/{bookingid} with an empty JSON object
2. Inspect response</t>
  </si>
  <si>
    <t>patch :Status 200 OK; no fields changed  | put :status Bad Request .</t>
  </si>
  <si>
    <t>TC-038</t>
  </si>
  <si>
    <t>PUT with totalprice at boundary value (0)</t>
  </si>
  <si>
    <t>{
    "firstname": "Sally",
    "lastname": "Brown",
    "totalprice": 0,
    "depositpaid": true,
    "bookingdates": {
        "checkin": "2022-11-08",
        "checkout": "2024-04-25"
    }
}</t>
  </si>
  <si>
    <t>1. Send PUT with totalprice = 0
2. Inspect response</t>
  </si>
  <si>
    <t>Status 200 OK; totalprice of 0 accepted as valid boundary value</t>
  </si>
  <si>
    <t>TC-039</t>
  </si>
  <si>
    <t>PUT with negative totalprice</t>
  </si>
  <si>
    <t>{
    "firstname": "Sally",
    "lastname": "Brown",
    "totalprice": -300,
    "depositpaid": true,
    "bookingdates": {
        "checkin": "2022-11-08",
        "checkout": "2024-04-25"
    }
}</t>
  </si>
  <si>
    <t>1. Send PUT with totalprice = -300
2. Inspect response</t>
  </si>
  <si>
    <t>Document actual behavior; flag as bug if API accepts negative totalprice without validation</t>
  </si>
  <si>
    <t>Status 200 OK; totalprice of -330 accepted as valid value</t>
  </si>
  <si>
    <t>DEF-003</t>
  </si>
  <si>
    <t>TC-040</t>
  </si>
  <si>
    <t>PUT with checkout date before checkin date</t>
  </si>
  <si>
    <t>{
    "firstname": "checkout date beforely",
    "lastname": "Brown",
    "totalprice": 99,
    "depositpaid": true,
    "bookingdates": {
        "checkin": "2026-11-08",
        "checkout": "2024-04-25"
    }
}</t>
  </si>
  <si>
    <t>1. Send PUT with checkout earlier than checkin
2. Inspect response</t>
  </si>
  <si>
    <t>Document actual behavior; flag as bug if accepted without validation error</t>
  </si>
  <si>
    <t>Status 200 OK; checkin&amp; checkout  updated</t>
  </si>
  <si>
    <t>DEF-004</t>
  </si>
  <si>
    <t>TC-041</t>
  </si>
  <si>
    <t>Validate response schema after PUT update</t>
  </si>
  <si>
    <t>{"firstname":"Schema","lastname":"Check","totalprice":120,"depositpaid":true,"bookingdates":{"checkin":"2026-05-01","checkout":"2026-05-03"},"additionalneeds":"WiFi"}</t>
  </si>
  <si>
    <t>1. Send PUT with full valid payload
2. Validate each field type in the response</t>
  </si>
  <si>
    <t>firstname/lastname are strings; totalprice is a number; depositpaid is boolean; bookingdates.checkin/checkout are valid date strings; additionalneeds is a string</t>
  </si>
  <si>
    <t>TC-042</t>
  </si>
  <si>
    <t>PUT with invalid data types in payload</t>
  </si>
  <si>
    <t>{
    "firstname": 12,
    "lastname": 2.5,
    "totalprice": "abc",
    "depositpaid": "abc",
    "bookingdates": {
        "checkin": 1234,
        "checkout": 122333
    }
}</t>
  </si>
  <si>
    <t>1. Send PUT with totalprice as string and depositpaid as string
2. Inspect response</t>
  </si>
  <si>
    <t>api 400 Bad Request, and the booking should not be successfully updated.</t>
  </si>
  <si>
    <t>DEF-005</t>
  </si>
  <si>
    <t>TC-043</t>
  </si>
  <si>
    <t>Verify status code 200 for successful PUT</t>
  </si>
  <si>
    <t>{"firstname":"Status","lastname":"Check","totalprice":90,"depositpaid":true,"bookingdates":{"checkin":"2026-06-01","checkout":"2026-06-03"},"additionalneeds":"None"}</t>
  </si>
  <si>
    <t>1. Send PUT with valid payload and token
2. Check HTTP status code</t>
  </si>
  <si>
    <t>TC-044</t>
  </si>
  <si>
    <t>Verify status code 403 for update without auth</t>
  </si>
  <si>
    <t>Content-Type: application/json (no auth)</t>
  </si>
  <si>
    <t>{"firstname":"NoAuth","lastname":"Check","totalprice":90,"depositpaid":true,"bookingdates":{"checkin":"2026-06-01","checkout":"2026-06-03"},"additionalneeds":"None"}</t>
  </si>
  <si>
    <t>1. Send PUT without auth header
2. Check HTTP status code</t>
  </si>
  <si>
    <t>Response status code is exactly 403</t>
  </si>
  <si>
    <t>TC-045</t>
  </si>
  <si>
    <t>Verify status code for PATCH on non-existent booking</t>
  </si>
  <si>
    <t xml:space="preserve">{
    "firstname": "NON- EXIST ID  ",
    "lastname": "basic auth ",
    "totalprice": 123,
    "depositpaid": false,
    "bookingdates": {
        "checkin": "2025-08-16",
        "checkout": "2026-01-04"
    },
    "additionalneeds": "basic auth "
}
</t>
  </si>
  <si>
    <t>1. Send PATCH /booking/999999999 with valid token
2. Check HTTP status code</t>
  </si>
  <si>
    <t xml:space="preserve">Response status code is 405 Method Not Allowed </t>
  </si>
  <si>
    <t>TC-046</t>
  </si>
  <si>
    <t>Validate PATCH response reflects only changed field</t>
  </si>
  <si>
    <t> "firstname": "just first name "</t>
  </si>
  <si>
    <t>A booking exists with known original values; a valid auth token has been generated.</t>
  </si>
  <si>
    <t>1. Capture original booking data via GET
2. Send PATCH updating onlyfirstname
3. GET again and compare all fields to original</t>
  </si>
  <si>
    <t>Only first name  differs from the original; all other fields ( lastname, totalprice, depositpaid, bookingdates) remain identical to the pre-update values</t>
  </si>
  <si>
    <t>TC-047</t>
  </si>
  <si>
    <t>Validate PUT response body matches full request payload exactly</t>
  </si>
  <si>
    <t>{"firstname":"Exact","lastname":"Match","totalprice":210,"depositpaid":false,"bookingdates":{"checkin":"2026-07-01","checkout":"2026-07-04"},"additionalneeds":"Parking"}</t>
  </si>
  <si>
    <t>1. Send PUT with full payload
2. Compare response body field-by-field against request payload</t>
  </si>
  <si>
    <t>Every field in the response exactly matches the corresponding field in the request payload</t>
  </si>
  <si>
    <t>TC-048</t>
  </si>
  <si>
    <t>Verify response time for PUT /booking/{id} is within SLA</t>
  </si>
  <si>
    <t>{"firstname":"Speed","lastname":"Test","totalprice":100,"depositpaid":true,"bookingdates":{"checkin":"2026-08-01","checkout":"2026-08-03"},"additionalneeds":"None"}</t>
  </si>
  <si>
    <t>1. Send PUT /booking/{bookingid}
2. Record response time</t>
  </si>
  <si>
    <t>TC-049</t>
  </si>
  <si>
    <t>Verify response time for PATCH /booking/{id} is within SLA</t>
  </si>
  <si>
    <t>{"totalprice":130}</t>
  </si>
  <si>
    <t>1. Send PATCH /booking/{bookingid}
2. Record response time</t>
  </si>
  <si>
    <t>TC-050</t>
  </si>
  <si>
    <t>Booking Deletion</t>
  </si>
  <si>
    <t>Verify deleted booking is no longer retrievable</t>
  </si>
  <si>
    <t>None; path param bookingid=&lt;ID just deleted&gt;</t>
  </si>
  <si>
    <t>A booking has just been successfully deleted.</t>
  </si>
  <si>
    <t>1. After deleting a booking, send GET /booking/{bookingid} for that same ID
2. Inspect response</t>
  </si>
  <si>
    <t>Status 404 Not Found; response body confirms the booking no longer exists</t>
  </si>
  <si>
    <t>TC-051</t>
  </si>
  <si>
    <t>Health Check</t>
  </si>
  <si>
    <t>Verify API health check endpoint is up</t>
  </si>
  <si>
    <t>https://restful-booker.herokuapp.com/ping</t>
  </si>
  <si>
    <t>1. Send GET /ping
2. Inspect response</t>
  </si>
  <si>
    <t>Status 201 Created (restful-booker's health check returns 201, confirming the service is up)</t>
  </si>
  <si>
    <t>TC-052</t>
  </si>
  <si>
    <t>End-to-End</t>
  </si>
  <si>
    <t>Create booking then verify it appears in filtered GET results</t>
  </si>
  <si>
    <t>E2E</t>
  </si>
  <si>
    <t>Multiple (POST/GET)</t>
  </si>
  <si>
    <t>Content-Type: application/json</t>
  </si>
  <si>
    <t>Create payload: {"firstname":"E2E","lastname":"FilterTest","totalprice":123,"depositpaid":true,"bookingdates":{"checkin":"2026-09-01","checkout":"2026-09-05"},"additionalneeds":"None"}</t>
  </si>
  <si>
    <t>1. POST /booking to create a booking with firstname='E2E', lastname='FilterTest'
2. Capture returned bookingid
3. GET /booking?firstname=E2E&amp;lastname=FilterTest
4. Verify the captured bookingid appears in the returned list</t>
  </si>
  <si>
    <t>The newly created booking's ID is present in the filtered results, confirming create-then-search consistency</t>
  </si>
  <si>
    <t>TC-053</t>
  </si>
  <si>
    <t>Attempt full update flow with an expired/invalidated token after logout-equivalent</t>
  </si>
  <si>
    <t>Multiple (POST/PUT)</t>
  </si>
  <si>
    <t>https://restful-booker.herokuapp.com/auth, /booking/{id}</t>
  </si>
  <si>
    <t>Content-Type: application/json, Cookie: token=&lt;token&gt;</t>
  </si>
  <si>
    <t>{"username":"admin","password":"password123"}</t>
  </si>
  <si>
    <t>1. POST /auth to generate a valid token
2. Successfully PUT /booking/{id} using that token (confirm 200)
3. Reuse a deliberately corrupted version of the same token on a second PUT request
4. Inspect response</t>
  </si>
  <si>
    <t>Step 2 succeeds with 200; step 4 fails with 403 Forbidden, confirming the API properly validates token integrity on every request rather than caching a bypass</t>
  </si>
  <si>
    <t>TC-054</t>
  </si>
  <si>
    <t xml:space="preserve">Filter with invalid date </t>
  </si>
  <si>
    <t>https://restful-booker.herokuapp.com/booking?checkin=2026-13-45</t>
  </si>
  <si>
    <t>checkin=2026-13-45</t>
  </si>
  <si>
    <t>1. Send GET with invalid date 
2. Inspect response</t>
  </si>
  <si>
    <t>DEF-006</t>
  </si>
  <si>
    <t>TC_055</t>
  </si>
  <si>
    <t>Delete booking with a valid security token</t>
  </si>
  <si>
    <t>Functional Testing</t>
  </si>
  <si>
    <t>DELETE</t>
  </si>
  <si>
    <t>https://restful-booker.herokuapp.com/booking/1</t>
  </si>
  <si>
    <t>Content-Type: application/json
Cookie: token={{token}}</t>
  </si>
  <si>
    <t>A valid booking ID exists and user has generated an auth token</t>
  </si>
  <si>
    <t>1. Open Postman
2. Select DELETE method
3. Enter URL with booking ID
4. Add Cookie header with token
5. Click Send</t>
  </si>
  <si>
    <t>Server deletes booking and gives status 204 with text 'Deletion Worked Successfully'</t>
  </si>
  <si>
    <t>Status code 201 returned</t>
  </si>
  <si>
    <t>DEF-007</t>
  </si>
  <si>
    <t>TC_056</t>
  </si>
  <si>
    <t>Try to delete a booking without any authorization</t>
  </si>
  <si>
    <t>A valid booking ID exists</t>
  </si>
  <si>
    <t>1. Open Postman
2. Select DELETE method
3. Enter URL with booking ID
4. Leave headers completely empty
5. Click Send</t>
  </si>
  <si>
    <t>Server blocks deletion and gives status 403 with text 'Cannot Delete, Required Auth Token'</t>
  </si>
  <si>
    <t>Status code 403 returned, access blocked</t>
  </si>
  <si>
    <t>TC_057</t>
  </si>
  <si>
    <t>Check and verify that the deleted booking is gone</t>
  </si>
  <si>
    <t>https://restful-booker.herokuapp.com/booking/3</t>
  </si>
  <si>
    <t>The booking ID was successfully deleted in the first step</t>
  </si>
  <si>
    <t>1. Open Postman
2. Select GET method
3. Enter the same booking ID used before
4. Click Send</t>
  </si>
  <si>
    <t>Server confirms data is missing and gives status 404 with text 'The Following Book is Deleted'</t>
  </si>
  <si>
    <t>Status code 404 returned, data confirmed missing</t>
  </si>
  <si>
    <t>TC_058</t>
  </si>
  <si>
    <t>Try to delete a booking using an invalid security token</t>
  </si>
  <si>
    <t>Content-Type: application/json
Cookie: token=ee224546ybgddr</t>
  </si>
  <si>
    <t>A valid booking ID exists and an invalid token string is provided</t>
  </si>
  <si>
    <t>1. Open Postman
2. Select DELETE method
3. Enter URL with booking ID
4. Add Cookie header with invalid token
5. Click Send</t>
  </si>
  <si>
    <t>Server blocks deletion and gives status 403 Forbidden</t>
  </si>
  <si>
    <t>Status code 403 Forbidden returned, access denied</t>
  </si>
  <si>
    <t>TC_059</t>
  </si>
  <si>
    <t>Try to delete a booking that has already been deleted</t>
  </si>
  <si>
    <t>https://restful-booker.herokuapp.com/booking/2</t>
  </si>
  <si>
    <t>The booking ID has already been deleted in a prior step</t>
  </si>
  <si>
    <t>1. Open Postman
2. Select DELETE method
3. Enter URL with the previously deleted booking ID
4. Add Cookie header with token
5. Click Send</t>
  </si>
  <si>
    <t>Server blocks request and returns status 405 Method Not Allowed</t>
  </si>
  <si>
    <t>Status code 405 Method Not Allowed</t>
  </si>
  <si>
    <t>TC_060</t>
  </si>
  <si>
    <t>Try to delete a booking using a non existent ID</t>
  </si>
  <si>
    <t>https://restful-booker.herokuapp.com/booking/#9999</t>
  </si>
  <si>
    <t>The booking ID does not exist in the database</t>
  </si>
  <si>
    <t>1. Open Postman
2. Select DELETE method
3. Enter URL with non-existent booking ID
4. Add Cookie header with token
5. Click Send</t>
  </si>
  <si>
    <t>Server returns status 404 Not Found for the missing record</t>
  </si>
  <si>
    <t>Status code 404 Not Found returned, data confirmed missing</t>
  </si>
  <si>
    <t>TC_061</t>
  </si>
  <si>
    <t>Try to delete a booking using a non numeric ID format</t>
  </si>
  <si>
    <t>https://restful-booker.herokuapp.com/booking/arnold</t>
  </si>
  <si>
    <t>1. Open Postman
2. Select DELETE method
3. Enter URL with alphabetical ID path string
4. Add Cookie header with token
5. Click Send</t>
  </si>
  <si>
    <t>Server handles bad input safely and returns 405 Method Not Allowed</t>
  </si>
  <si>
    <t>TC_062</t>
  </si>
  <si>
    <t>Ping Testing</t>
  </si>
  <si>
    <t>Check the health status of the server</t>
  </si>
  <si>
    <t>1. Open Postman
2. Select GET method
3. Enter ping URL
4. Click Send</t>
  </si>
  <si>
    <t>Server is up and running and gives status 201 Created</t>
  </si>
  <si>
    <t>Status code 201 returned, text text return successfully</t>
  </si>
  <si>
    <t>TC_063</t>
  </si>
  <si>
    <t>Verify the text format of the server response</t>
  </si>
  <si>
    <t>Response text body says exactly 'Created'</t>
  </si>
  <si>
    <t>Body matches text format perfectly</t>
  </si>
  <si>
    <t>TC_064</t>
  </si>
  <si>
    <t>Check that the server response speed is fast</t>
  </si>
  <si>
    <t>Performance Testing</t>
  </si>
  <si>
    <t>Server responds text block under the 200ms limit</t>
  </si>
  <si>
    <t>Response speed measured below line</t>
  </si>
  <si>
    <t>TC_065</t>
  </si>
  <si>
    <t>Try using an invalid HTTP POST request on the health check endpoint</t>
  </si>
  <si>
    <t>1. Open Postman
2. Select POST method
3. Enter ping URL
4. Click Send</t>
  </si>
  <si>
    <t>Server rejects POST method and returns status 404 Not Found</t>
  </si>
  <si>
    <t>Status code 404 Not Found returned, invalid route blocked</t>
  </si>
  <si>
    <t>TC_066</t>
  </si>
  <si>
    <t>Check that the server response headers contain Content-Type</t>
  </si>
  <si>
    <t>Response headers contain the Content-Type specification field</t>
  </si>
  <si>
    <t>Header value confirmed present and verified successfully</t>
  </si>
  <si>
    <t>TC-067</t>
  </si>
  <si>
    <t>Auth - POST /auth</t>
  </si>
  <si>
    <t>Generate token with valid credentials</t>
  </si>
  <si>
    <t>https://restful-booker.herokuapp.com/auth</t>
  </si>
  <si>
    <t>1. Send POST /auth with valid username &amp; password
2. Inspect response</t>
  </si>
  <si>
    <t>Status 200 OK; response contains a non-empty 'token' field; Content-Type is application/json; response time is acceptable</t>
  </si>
  <si>
    <t>As Expected Result</t>
  </si>
  <si>
    <t> </t>
  </si>
  <si>
    <t>TC-068</t>
  </si>
  <si>
    <t>Generate token with wrong password</t>
  </si>
  <si>
    <t>{"username":"admin","password":"wrongPass123"}</t>
  </si>
  <si>
    <t>API is up and running</t>
  </si>
  <si>
    <t>1. Send POST /auth with valid username and invalid password
2. Inspect response</t>
  </si>
  <si>
    <t>Status 401 Unauthorized; response should not contain 'token'</t>
  </si>
  <si>
    <t>Status 200 OK; response does not contain 'token' (login correctly rejected but wrong status code returned)</t>
  </si>
  <si>
    <t>DEF-008</t>
  </si>
  <si>
    <t>TC-069</t>
  </si>
  <si>
    <t>Generate token with wrong username</t>
  </si>
  <si>
    <t>{"username":"wrongUser","password":"password123"}</t>
  </si>
  <si>
    <t>1. Send POST /auth with invalid username and valid password
2. Inspect response</t>
  </si>
  <si>
    <t>TC-070</t>
  </si>
  <si>
    <t>Generate token with both username and password wrong</t>
  </si>
  <si>
    <t>{"username":"wrongUser","password":"wrongPass123"}</t>
  </si>
  <si>
    <t>1. Send POST /auth with invalid username and invalid password
2. Inspect response</t>
  </si>
  <si>
    <t>TC-071</t>
  </si>
  <si>
    <t>Generate token with missing username field</t>
  </si>
  <si>
    <t>Negative / Boundary</t>
  </si>
  <si>
    <t>{"password":"password123"}</t>
  </si>
  <si>
    <t>1. Send POST /auth without the 'username' field
2. Inspect response</t>
  </si>
  <si>
    <t>Status 400 Bad Request; response should not contain 'token'; response should mention the missing field</t>
  </si>
  <si>
    <t>Status 200 OK; response does not contain 'token'; no message about the missing field is returned</t>
  </si>
  <si>
    <t>DEF-009</t>
  </si>
  <si>
    <t>TC-072</t>
  </si>
  <si>
    <t>Generate token with missing password field</t>
  </si>
  <si>
    <t>{"username":"admin"}</t>
  </si>
  <si>
    <t>1. Send POST /auth without the 'password' field
2. Inspect response</t>
  </si>
  <si>
    <t>TC-073</t>
  </si>
  <si>
    <t>Generate token with empty request body</t>
  </si>
  <si>
    <t>1. Send POST /auth with an empty JSON body {}
2. Inspect response</t>
  </si>
  <si>
    <t>Status 400 Bad Request; server should not crash (no 500 error)</t>
  </si>
  <si>
    <t>Status 200 OK (not 400); server did not crash - no 500 error</t>
  </si>
  <si>
    <t>TC-074</t>
  </si>
  <si>
    <t>Generate token with empty string values</t>
  </si>
  <si>
    <t>{"username":"","password":""}</t>
  </si>
  <si>
    <t>1. Send POST /auth with username and password as empty strings
2. Inspect response</t>
  </si>
  <si>
    <t>TC-075</t>
  </si>
  <si>
    <t>Generate token with invalid data type for username</t>
  </si>
  <si>
    <t>{"username":12345,"password":"password123"}</t>
  </si>
  <si>
    <t>1. Send POST /auth with 'username' as a number instead of a string
2. Inspect response</t>
  </si>
  <si>
    <t>Status 400 Bad Request; request should be rejected due to invalid data type</t>
  </si>
  <si>
    <t>Status 200 OK; request accepted, invalid data type not validated</t>
  </si>
  <si>
    <t>DEF-010</t>
  </si>
  <si>
    <t>TC-076</t>
  </si>
  <si>
    <t>Generate token with extra unexpected field in body</t>
  </si>
  <si>
    <t>Positive / Boundary</t>
  </si>
  <si>
    <t>{"username":"admin","password":"password123","extraField":"test"}</t>
  </si>
  <si>
    <t>1. Send POST /auth with an additional unexpected field in the body
2. Inspect response</t>
  </si>
  <si>
    <t>Status 200 OK; response has 'token'; the extra field should not be reflected back in the response</t>
  </si>
  <si>
    <t>TC-077</t>
  </si>
  <si>
    <t>Verify response time of Auth request</t>
  </si>
  <si>
    <t>Non-functional</t>
  </si>
  <si>
    <t>1. Send POST /auth with valid credentials
2. Measure response time</t>
  </si>
  <si>
    <t>Response time is acceptable (e.g. under 2000 ms)</t>
  </si>
  <si>
    <t>Response time 203 ms - acceptable</t>
  </si>
  <si>
    <t>TC-078</t>
  </si>
  <si>
    <t>Generate token with missing/wrong Content-Type header</t>
  </si>
  <si>
    <t>Content-Type: text/plain (or missing)</t>
  </si>
  <si>
    <t>1. Send POST /auth with valid body but missing/incorrect 'Content-Type' header
2. Inspect response</t>
  </si>
  <si>
    <t>Status 415 Unsupported Media Type</t>
  </si>
  <si>
    <t xml:space="preserve">Status 400 Bad Request; request was rejected due to incorrect/missing Content-Type header
</t>
  </si>
  <si>
    <t>DEF-011</t>
  </si>
  <si>
    <t>TC-079</t>
  </si>
  <si>
    <t>Booking - POST /booking</t>
  </si>
  <si>
    <t>Create booking with all valid required fields</t>
  </si>
  <si>
    <t>{"firstname":"Jim","lastname":"Brown","totalprice":111,"depositpaid":true,"bookingdates":{"checkin":"2018-01-01","checkout":"2019-01-01"},"additionalneeds":"Breakfast"}</t>
  </si>
  <si>
    <t>1. Send POST /booking with valid firstname, lastname, totalprice, depositpaid, bookingdates (checkin/checkout)
2. Inspect response</t>
  </si>
  <si>
    <t>Status 200 OK; response contains non-empty bookingid; booking object returned with correct firstname; response time acceptable; bookingid saved to environment variable</t>
  </si>
  <si>
    <t>TC-080</t>
  </si>
  <si>
    <t>Create valid booking including optional additionalneeds field</t>
  </si>
  <si>
    <t>1. Send POST /booking with all required fields plus additionalneeds = "Breakfast"
2. Inspect response</t>
  </si>
  <si>
    <t>Status 200 OK; response time is less than 2000ms; additionalneeds is returned as "Breakfast"</t>
  </si>
  <si>
    <t>TC-081</t>
  </si>
  <si>
    <t>Create booking with missing firstname</t>
  </si>
  <si>
    <t>{"lastname":"Brown","totalprice":111,"depositpaid":true,"bookingdates":{"checkin":"2018-01-01","checkout":"2019-01-01"}}</t>
  </si>
  <si>
    <t>1. Send POST /booking without the 'firstname' field
2. Inspect status code and response</t>
  </si>
  <si>
    <t>Status 400 Bad Request; request rejected with a descriptive validation message; server should not crash</t>
  </si>
  <si>
    <t>Status 500 Internal Server Error returned (server crash) instead of 400</t>
  </si>
  <si>
    <t>DEF-012</t>
  </si>
  <si>
    <t>TC-082</t>
  </si>
  <si>
    <t>Create booking with missing lastname</t>
  </si>
  <si>
    <t>{"firstname":"Jim","totalprice":111,"depositpaid":true,"bookingdates":{"checkin":"2018-01-01","checkout":"2019-01-01"}}</t>
  </si>
  <si>
    <t>1. Send POST /booking without the 'lastname' field
2. Inspect status code and response</t>
  </si>
  <si>
    <t>TC-083</t>
  </si>
  <si>
    <t>Create booking with missing totalprice</t>
  </si>
  <si>
    <t>{"firstname":"Jim","lastname":"Brown","depositpaid":true,"bookingdates":{"checkin":"2018-01-01","checkout":"2019-01-01"}}</t>
  </si>
  <si>
    <t>1. Send POST /booking without the 'totalprice' field
2. Inspect status code and response</t>
  </si>
  <si>
    <t>TC-084</t>
  </si>
  <si>
    <t>Create booking with missing depositpaid</t>
  </si>
  <si>
    <t>{"firstname":"Jim","lastname":"Brown","totalprice":111,"bookingdates":{"checkin":"2018-01-01","checkout":"2019-01-01"}}</t>
  </si>
  <si>
    <t>1. Send POST /booking without the 'depositpaid' field
2. Inspect status code and response</t>
  </si>
  <si>
    <t>TC-085</t>
  </si>
  <si>
    <t>Create booking with missing bookingdates object</t>
  </si>
  <si>
    <t>{"firstname":"Jim","lastname":"Brown","totalprice":111,"depositpaid":true}</t>
  </si>
  <si>
    <t>1. Send POST /booking without the 'bookingdates' object entirely
2. Inspect status code and response</t>
  </si>
  <si>
    <t>Status 400 Bad Request; request rejected; server should not crash (no 500 error)</t>
  </si>
  <si>
    <t>Status 500 Internal Server Error returned; server crashed</t>
  </si>
  <si>
    <t>TC-086</t>
  </si>
  <si>
    <t>Create booking with missing checkin date</t>
  </si>
  <si>
    <t>{"firstname":"Jim","lastname":"Brown","totalprice":111,"depositpaid":true,"bookingdates":{"checkout":"2019-01-01"}}</t>
  </si>
  <si>
    <t>1. Send POST /booking without 'checkin' inside bookingdates
2. Inspect status code and response</t>
  </si>
  <si>
    <t>TC-087</t>
  </si>
  <si>
    <t>Create booking with missing checkout date</t>
  </si>
  <si>
    <t>{"firstname":"Jim","lastname":"Brown","totalprice":111,"depositpaid":true,"bookingdates":{"checkin":"2018-01-01"}}</t>
  </si>
  <si>
    <t>1. Send POST /booking without 'checkout' inside bookingdates
2. Inspect status code and response</t>
  </si>
  <si>
    <t>TC-088</t>
  </si>
  <si>
    <t>Create booking with a completely empty request body</t>
  </si>
  <si>
    <t>Negative/Boundary</t>
  </si>
  <si>
    <t>1. Send POST /booking with an empty JSON body {}
2. Inspect status code and response</t>
  </si>
  <si>
    <t>TC-089</t>
  </si>
  <si>
    <t>Create booking with totalprice sent as a string</t>
  </si>
  <si>
    <t>{"firstname":"Jim","lastname":"Brown","totalprice":"111","depositpaid":true,"bookingdates":{"checkin":"2018-01-01","checkout":"2019-01-01"}}</t>
  </si>
  <si>
    <t>1. Send POST /booking with totalprice as a string ("111") instead of a number
2. Inspect status code and response</t>
  </si>
  <si>
    <t>Status 400 Bad Request; request rejected due to invalid data type</t>
  </si>
  <si>
    <t>Status 200 OK; request accepted, no data type validation performed</t>
  </si>
  <si>
    <t>DEF-013</t>
  </si>
  <si>
    <t>TC-090</t>
  </si>
  <si>
    <t>Create booking with depositpaid sent as a string</t>
  </si>
  <si>
    <t>{"firstname":"Jim","lastname":"Brown","totalprice":111,"depositpaid":"true","bookingdates":{"checkin":"2018-01-01","checkout":"2019-01-01"}}</t>
  </si>
  <si>
    <t>1. Send POST /booking with depositpaid as a string ("true") instead of a boolean
2. Inspect status code and response</t>
  </si>
  <si>
    <t>TC-091</t>
  </si>
  <si>
    <t>Create booking with a negative totalprice</t>
  </si>
  <si>
    <t>{"firstname":"Jim","lastname":"Brown","totalprice":-111,"depositpaid":true,"bookingdates":{"checkin":"2018-01-01","checkout":"2019-01-01"}}</t>
  </si>
  <si>
    <t>1. Send POST /booking with totalprice = -111
2. Inspect status code and response</t>
  </si>
  <si>
    <t>Status 400 Bad Request; negative price should be rejected</t>
  </si>
  <si>
    <t>Status 200 OK; booking created with a negative totalprice</t>
  </si>
  <si>
    <t>DEF-014</t>
  </si>
  <si>
    <t>TC-092</t>
  </si>
  <si>
    <t>Create booking with totalprice equal to zero</t>
  </si>
  <si>
    <t>{"firstname":"Jim","lastname":"Brown","totalprice":0,"depositpaid":true,"bookingdates":{"checkin":"2018-01-01","checkout":"2019-01-01"}}</t>
  </si>
  <si>
    <t>1. Send POST /booking with totalprice = 0
2. Inspect status code and response</t>
  </si>
  <si>
    <t>Status 200 OK; totalprice is accepted and returned as 0 (valid boundary value)</t>
  </si>
  <si>
    <t>TC-093</t>
  </si>
  <si>
    <t>Create booking with checkout date earlier than checkin date</t>
  </si>
  <si>
    <t>{"firstname":"Jim","lastname":"Brown","totalprice":111,"depositpaid":true,"bookingdates":{"checkin":"2019-01-01","checkout":"2018-01-01"}}</t>
  </si>
  <si>
    <t>1. Send POST /booking with checkout date earlier than checkin date
2. Inspect status code and response</t>
  </si>
  <si>
    <t>Status 400 Bad Request; illogical date range should be rejected</t>
  </si>
  <si>
    <t>Status 200 OK; booking created with checkout before checkin</t>
  </si>
  <si>
    <t>DEF-015</t>
  </si>
  <si>
    <t>TC-094</t>
  </si>
  <si>
    <t>Create booking with a non-ISO date format</t>
  </si>
  <si>
    <t>{"firstname":"Jim","lastname":"Brown","totalprice":111,"depositpaid":true,"bookingdates":{"checkin":"01/01/2018","checkout":"01/01/2019"}}</t>
  </si>
  <si>
    <t>1. Send POST /booking with checkin/checkout in a non-ISO (CCYY-MM-DD) format
2. Inspect status code and response and document actual behavior</t>
  </si>
  <si>
    <t>Status 400 Bad Request; API should reject/validate a date not in the documented CCYY-MM-DD format</t>
  </si>
  <si>
    <t>Status 200 OK; API silently accepts the non-ISO format and stores it as provided, with no format validation</t>
  </si>
  <si>
    <t>DEF-016</t>
  </si>
  <si>
    <t>TC-095</t>
  </si>
  <si>
    <t>Create booking with special characters in firstname</t>
  </si>
  <si>
    <t>{"firstname":"&lt;script&gt;!@#$%^&lt;/script&gt;","lastname":"Brown","totalprice":111,"depositpaid":true,"bookingdates":{"checkin":"2018-01-01","checkout":"2019-01-01"}}</t>
  </si>
  <si>
    <t>1. Send POST /booking with special characters in the firstname field
2. Inspect status code and response</t>
  </si>
  <si>
    <t>Status 400 Bad Request; invalid/unsafe characters should be rejected or sanitized</t>
  </si>
  <si>
    <t>Status 200 OK; special characters accepted and stored as-is, no input validation performed</t>
  </si>
  <si>
    <t>DEF-017</t>
  </si>
  <si>
    <t>TC-096</t>
  </si>
  <si>
    <t>Create booking with an extra/unexpected field in the body</t>
  </si>
  <si>
    <t>Positive/Boundary</t>
  </si>
  <si>
    <t>{"firstname":"Jim","lastname":"Brown","totalprice":111,"depositpaid":true,"bookingdates":{"checkin":"2018-01-01","checkout":"2019-01-01"},"extraField":"test"}</t>
  </si>
  <si>
    <t>1. Send POST /booking with all valid fields plus an additional unexpected field
2. Inspect response</t>
  </si>
  <si>
    <t>Status 200 OK; the extra field should not be reflected back in the response</t>
  </si>
  <si>
    <t>TC-097</t>
  </si>
  <si>
    <t>Validate POST /booking response schema and performance</t>
  </si>
  <si>
    <t>1. Send POST /booking with valid data
2. Validate bookingid type, booking object schema/field types, and response time</t>
  </si>
  <si>
    <t>Status 200 OK; bookingid is a number; booking object has all expected fields with correct types; response time is less than 2000ms</t>
  </si>
  <si>
    <t>Test ID</t>
  </si>
  <si>
    <t>Defect Title</t>
  </si>
  <si>
    <t>Defect description</t>
  </si>
  <si>
    <t xml:space="preserve">Enviroments </t>
  </si>
  <si>
    <t xml:space="preserve">steps </t>
  </si>
  <si>
    <t xml:space="preserve">Expected Result </t>
  </si>
  <si>
    <t xml:space="preserve">Actual Result </t>
  </si>
  <si>
    <t>Severity</t>
  </si>
  <si>
    <t>Priority</t>
  </si>
  <si>
    <t>Defect Summary &amp; Impact</t>
  </si>
  <si>
    <t>TC-GET-008</t>
  </si>
  <si>
    <t>Booking Retrieval-GET /booking/</t>
  </si>
  <si>
    <t>Booking API returns 200 OK instead of 400 Bad Request for invalid date range</t>
  </si>
  <si>
    <t>The GET /booking endpoint accepts an invalid date range where the check-in date is later than the checkout date.</t>
  </si>
  <si>
    <t>Environment: QA / Test
API: Restful Booker
Endpoint: GET /booking
Method: GET
Request: /booking?checkin=2022-01-31&amp;checkout=2022-01-01,https://restful-booker.herokuapp.com/booking
Header: Accept: application/json</t>
  </si>
  <si>
    <t>Medium</t>
  </si>
  <si>
    <t>Check-in date after check-out date returns 200 OK</t>
  </si>
  <si>
    <t>TC-GET-018</t>
  </si>
  <si>
    <r>
      <t xml:space="preserve">Booking API returns 500 Internal Server Error for invalid check-in date format( </t>
    </r>
    <r>
      <rPr>
        <sz val="11"/>
        <color indexed="45"/>
        <rFont val="Calibri"/>
        <family val="2"/>
      </rPr>
      <t>Date structure</t>
    </r>
    <r>
      <rPr>
        <sz val="11"/>
        <color theme="1"/>
        <rFont val="Calibri"/>
        <family val="2"/>
        <charset val="1"/>
      </rPr>
      <t>)</t>
    </r>
  </si>
  <si>
    <t>The GET /booking endpoint does not properly handle an invalid date format for the checkin parameter</t>
  </si>
  <si>
    <r>
      <t>Environment: QA / Test
API: Restful Booker
Endpoint: GET /booking
Method: GET
Request: /booking?checkin=</t>
    </r>
    <r>
      <rPr>
        <sz val="11"/>
        <color indexed="52"/>
        <rFont val="Calibri"/>
        <family val="2"/>
      </rPr>
      <t>01-01-2026</t>
    </r>
    <r>
      <rPr>
        <sz val="11"/>
        <color theme="1"/>
        <rFont val="Calibri"/>
        <family val="2"/>
        <charset val="1"/>
      </rPr>
      <t xml:space="preserve">
Header: Accept: application/json
Expected Date Format: YYYY-MM-DD
Invalid Date Format: </t>
    </r>
    <r>
      <rPr>
        <sz val="11"/>
        <color indexed="52"/>
        <rFont val="Calibri"/>
        <family val="2"/>
      </rPr>
      <t>DD-MM-YYYY</t>
    </r>
  </si>
  <si>
    <t>High</t>
  </si>
  <si>
    <t>Non-standard date format triggers HTTP 500 Error</t>
  </si>
  <si>
    <t>TC-PUT-012</t>
  </si>
  <si>
    <t>Booking Update  -PUT /booking/{id}</t>
  </si>
  <si>
    <t>Booking Update API accepts negative totalprice without validation</t>
  </si>
  <si>
    <t>The PUT /booking/{bookingid} endpoint accepts a negative value for the totalprice field without performing input validation.
When a booking is updated with a negative totalprice (e.g., -300 or -50), the API returns HTTP 200 OK and stores the negative price as a valid booking value.</t>
  </si>
  <si>
    <r>
      <t xml:space="preserve">Environment: QA / Test
API: Restful Booker
Endpoint: PUT /booking/{bookingid}
Method: PUT
Authentication: Valid token cookie
Content-Type: application/json
Input: totalprice = </t>
    </r>
    <r>
      <rPr>
        <sz val="11"/>
        <color indexed="52"/>
        <rFont val="Calibri"/>
        <family val="2"/>
      </rPr>
      <t>-300</t>
    </r>
  </si>
  <si>
    <t>Negative totalprice accepted without validation</t>
  </si>
  <si>
    <t>TC-PUT-013</t>
  </si>
  <si>
    <t>Booking Update- PUT /booking/{id}</t>
  </si>
  <si>
    <t>Booking Update API accepts checkout date earlier than check-in date</t>
  </si>
  <si>
    <t>The PUT /booking/{bookingid} endpoint accepts an invalid booking date range where the checkout date is earlier than the check-in date.</t>
  </si>
  <si>
    <t>Environment: QA / Test
API: Restful Booker
Endpoint: PUT /booking/{bookingid}
Method: PUT
Authentication: Valid token cookie
Content-Type: application/json
Check-in: 2026-11-08
Checkout: 2024-04-25</t>
  </si>
  <si>
    <t>Checkout date prior to checkin date accepted</t>
  </si>
  <si>
    <t>TC-PUT-015</t>
  </si>
  <si>
    <t>Booking Update/PUT /booking/{id}</t>
  </si>
  <si>
    <t>Booking Update API does not handle invalid data types correctly</t>
  </si>
  <si>
    <t>The PUT /booking/{bookingid} endpoint is tested with invalid data types in multiple fields, including firstname, lastname, totalprice, depositpaid, checkin, and checkout.</t>
  </si>
  <si>
    <t>Environment: QA / Test
API: Restful Booker
Endpoint: PUT /booking/{bookingid}
Method: PUT
Authentication: Valid token cookie
Content-Type: application/json</t>
  </si>
  <si>
    <t>API 400 Bad Request, and the booking should not be successfully updated.</t>
  </si>
  <si>
    <t>Invalid field data types bypass schema validation .  Sending string types for numbers/booleans and numbers for strings is not handled gracefully with 400 Bad Request.</t>
  </si>
  <si>
    <t>GET Booking Filter returns 500 instead of 400 for invalid check-in date</t>
  </si>
  <si>
    <t>The Booking Retrieval API returns 500 Internal Server Error when an invalid check-in date (2026-13-45) is provided. The API should validate the input and return 400 Bad Request instead of exposing a server-side error</t>
  </si>
  <si>
    <r>
      <t>Environment: QA / Test
API: Restful Booker
Endpoint: GET /booking
Method: GET
Request: /booking?checkin=</t>
    </r>
    <r>
      <rPr>
        <sz val="11"/>
        <color indexed="45"/>
        <rFont val="Calibri"/>
        <family val="2"/>
      </rPr>
      <t>2026-13-45</t>
    </r>
    <r>
      <rPr>
        <sz val="11"/>
        <color theme="1"/>
        <rFont val="Calibri"/>
        <family val="2"/>
        <charset val="1"/>
      </rPr>
      <t xml:space="preserve">
Header: Accept: application/json
Expected Date Format: YYYY-MM-DD
Invalid Date : </t>
    </r>
    <r>
      <rPr>
        <sz val="11"/>
        <color indexed="52"/>
        <rFont val="Calibri"/>
        <family val="2"/>
      </rPr>
      <t>2026-13-</t>
    </r>
    <r>
      <rPr>
        <sz val="11"/>
        <color indexed="45"/>
        <rFont val="Calibri"/>
        <family val="2"/>
      </rPr>
      <t>45</t>
    </r>
  </si>
  <si>
    <t>Validation</t>
  </si>
  <si>
    <t>Invalid check-in date returns 500 instead of 400 Bad Request.Incorrect error handling and API validation.</t>
  </si>
  <si>
    <t>TC-DEL-001</t>
  </si>
  <si>
    <t>Booking Deletion - DELETE /booking/{id}</t>
  </si>
  <si>
    <t>DELETE Booking API returns 201 Created instead of 204 No Content</t>
  </si>
  <si>
    <t>The DELETE endpoint successfully removes the booking from the database but it returns an incorrect HTTP status code 201 Created and the text "Created" in the response body
 It should return a standard 204 status with no text</t>
  </si>
  <si>
    <t>Environment: QA / Test
API: Restful Booker
Endpoint: DELETE /booking/{bookingid}
Method: DELETE
Authentication: Valid token cookie</t>
  </si>
  <si>
    <t>1. Send DELETE request to a valid booking ID
2. Inspect HTTP status code and response body text</t>
  </si>
  <si>
    <t>204 No Content (Empty response body)</t>
  </si>
  <si>
    <t>Status 201 Created</t>
  </si>
  <si>
    <t>Wrong status code. Returning a creation status 201 for a DELETE action breaks standard API rules and will confuse frontend applications or other developers using this API</t>
  </si>
  <si>
    <t>TC-068, TC-069, TC-070, TC-074</t>
  </si>
  <si>
    <t>Auth API returns 200 OK instead of 401 Unauthorized for invalid credentials</t>
  </si>
  <si>
    <t>The POST /auth endpoint accepts requests with a wrong password, wrong username, both wrong, or empty string credentials, and returns HTTP 200 with no token, instead of rejecting the request with HTTP 401 Unauthorized.</t>
  </si>
  <si>
    <t>Environment: QA / Test
API: Restful Booker
Endpoint: POST /auth
Method: POST
https://restful-booker.herokuapp.com/auth
Header: Content-Type: application/json</t>
  </si>
  <si>
    <t>1. Send POST /auth with invalid credentials (wrong password / wrong username / both wrong / empty strings)
2. Inspect status code and body</t>
  </si>
  <si>
    <t>Status 401 Unauthorized, no token in response</t>
  </si>
  <si>
    <t>Status 200 OK, no token in response (correct behavior but wrong status code)</t>
  </si>
  <si>
    <t>Clients relying on the HTTP status code to detect a failed login will treat this as a successful call, which can break authentication flows and error handling downstream.</t>
  </si>
  <si>
    <t>TC-071, TC-072, TC-073</t>
  </si>
  <si>
    <t>Auth API returns 200 OK instead of 400 Bad Request for missing required fields, with no error message</t>
  </si>
  <si>
    <t>Omitting the 'username' field, the 'password' field, or sending a completely empty JSON body still returns HTTP 200 with no token and no descriptive error message, instead of HTTP 400 Bad Request with a message identifying the missing field(s).</t>
  </si>
  <si>
    <t>1. Send POST /auth missing 'username' and/or 'password' (or an empty body {})
2. Inspect status code and body</t>
  </si>
  <si>
    <t>Status 400 Bad Request; response mentions the missing field(s)</t>
  </si>
  <si>
    <t>Status 200 OK; no token, no error message about the missing field(s); server does not crash</t>
  </si>
  <si>
    <t>Silent failures with no error message make it difficult for API consumers to debug integration issues and distinguish a malformed request from any other failure.</t>
  </si>
  <si>
    <t>Auth API accepts invalid data type for 'username' without validation</t>
  </si>
  <si>
    <t>Sending 'username' as a number instead of a string is accepted by the endpoint and returns HTTP 200, instead of being rejected with HTTP 400 Bad Request.</t>
  </si>
  <si>
    <t>1. Send POST /auth with 'username' as a number (e.g. 12345)
2. Inspect status code and body</t>
  </si>
  <si>
    <t>Lack of data type validation may allow malformed data through the API, increasing the risk of unexpected errors in downstream processing.</t>
  </si>
  <si>
    <t>Auth API does not enforce/validate the Content-Type header</t>
  </si>
  <si>
    <t>Sending a request with a missing or incorrect Content-Type header (e.g. text/plain instead of application/json) returns HTTP 400 Bad Request instead of HTTP 415 Unsupported Media Type</t>
  </si>
  <si>
    <t>Environment: QA / Test
API: Restful Booker
Endpoint: POST /auth
Method: POST
https://restful-booker.herokuapp.com/auth
Header: Content-Type: application/xml</t>
  </si>
  <si>
    <t>1. Send POST /auth with a valid body but missing/incorrect 'Content-Type' header
2. Inspect status code and body</t>
  </si>
  <si>
    <t xml:space="preserve">400 Bad Request; </t>
  </si>
  <si>
    <t>Low</t>
  </si>
  <si>
    <t>Minor - the API is overly lenient with headers, which does not follow REST standards for content negotiation, but it does not block core functionality.</t>
  </si>
  <si>
    <t>TC-081, TC-082, TC-083, TC-084,
TC-085, TC-086, TC-087, TC-088</t>
  </si>
  <si>
    <t>POST /booking returns 500 Internal Server Error instead of 400 Bad Request for missing required fields / empty body</t>
  </si>
  <si>
    <t>Omitting any required field (firstname, lastname, totalprice, depositpaid, bookingdates, checkin, checkout) or sending a completely empty JSON body {} causes the API to crash and return HTTP 500 Internal Server Error, instead of validating the input and returning HTTP 400 Bad Request with a descriptive error message identifying the missing field(s).</t>
  </si>
  <si>
    <t>Environment: QA / Test
API: Restful Booker
Endpoint: POST /booking
Method: POST
https://restful-booker.herokuapp.com/booking
Header: Content-Type: application/json</t>
  </si>
  <si>
    <t>1. Send POST /booking with one or more required fields missing (or an empty body {})
2. Inspect status code and response body</t>
  </si>
  <si>
    <t>Status 400 Bad Request; response should mention the missing field(s); server should not crash</t>
  </si>
  <si>
    <t>Status 500 Internal Server Error returned (server crash); no descriptive validation message returned</t>
  </si>
  <si>
    <t>Critical</t>
  </si>
  <si>
    <t>A 500 error instead of a graceful 400 indicates missing input validation at the API layer. This can crash client integrations, exposes server errors instead of a clean validation message, and prevents consumers from distinguishing a client error (bad request) from an actual server fault.</t>
  </si>
  <si>
    <t>TC-089, TC-090</t>
  </si>
  <si>
    <t>POST /booking accepts invalid data types (string) for totalprice and depositpaid without validation</t>
  </si>
  <si>
    <t>Sending totalprice or depositpaid as a string (e.g. "111" / "true") instead of the expected Number/Boolean type is accepted with HTTP 200 OK and the booking is created, instead of being rejected with HTTP 400 Bad Request.</t>
  </si>
  <si>
    <t>1. Send POST /booking with totalprice or depositpaid as a string
2. Inspect status code and response</t>
  </si>
  <si>
    <t>Lack of data type validation allows malformed/inconsistent data into the system, increasing the risk of unexpected errors in downstream processing and inconsistent data types in stored booking records.</t>
  </si>
  <si>
    <t>POST /booking accepts a negative totalprice value without validation</t>
  </si>
  <si>
    <t>Sending a negative value for totalprice is accepted with HTTP 200 OK and the booking is created, instead of being rejected with HTTP 400 Bad Request.</t>
  </si>
  <si>
    <t>Accepting negative prices allows invalid/illogical business data to be stored, which could lead to incorrect billing, reporting, or downstream financial calculations.</t>
  </si>
  <si>
    <t>POST /booking accepts a checkout date earlier than the checkin date</t>
  </si>
  <si>
    <t>Sending a booking where the checkout date is earlier than the checkin date is accepted with HTTP 200 OK, instead of being rejected with HTTP 400 Bad Request.</t>
  </si>
  <si>
    <t>Status 200 OK; booking created with checkout date before checkin date</t>
  </si>
  <si>
    <t>Missing business-logic validation on date ranges allows illogical bookings to be stored, which can corrupt availability calculations, reporting, and any downstream logic that assumes checkout occurs after checkin.</t>
  </si>
  <si>
    <t>TC-94</t>
  </si>
  <si>
    <t>POST /booking does not validate date format for checkin/checkout (accepts non-ISO formats silently)</t>
  </si>
  <si>
    <t>The documentation defines dates in the CCYY-MM-DD format (as stated for the GetBookingIds query parameters). Sending checkin/checkout in a different format (e.g. 01/01/2018) is still accepted with HTTP 200 OK and stored as-is, instead of being rejected with HTTP 400 Bad Request or normalized to the documented format.</t>
  </si>
  <si>
    <t>1. Send POST /booking with checkin/checkout in a non-ISO date format
2. Inspect status code and response</t>
  </si>
  <si>
    <t>Status 400 Bad Request; date should be validated against the documented CCYY-MM-DD format</t>
  </si>
  <si>
    <t>Status 200 OK; non-ISO date format accepted silently with no validation</t>
  </si>
  <si>
    <t xml:space="preserve">Negative </t>
  </si>
  <si>
    <t>Missing date-format validation can lead to inconsistent date storage and misinterpretation (e.g. DD/MM vs MM/DD ambiguity), which risks incorrect availability calculations and reporting downstream.</t>
  </si>
  <si>
    <t>POST /booking accepts special characters / unsanitized input in firstname without validation</t>
  </si>
  <si>
    <t>Sending special characters (including script-tag-like content) in the firstname field is accepted with HTTP 200 OK and stored as-is, instead of being rejected or sanitized.</t>
  </si>
  <si>
    <t>1. Send POST /booking with special characters in firstname
2. Inspect status code and response</t>
  </si>
  <si>
    <t>Lack of input sanitization on free-text fields is a data-quality risk and could become an entry point for injection-style issues if this data is later rendered or consumed elsewhere without proper escaping.</t>
  </si>
  <si>
    <t>POST Create Booking API returns 200 OK instead of 201 Created</t>
  </si>
  <si>
    <r>
      <t xml:space="preserve">The Create Booking API returns </t>
    </r>
    <r>
      <rPr>
        <b/>
        <sz val="11"/>
        <color theme="1"/>
        <rFont val="Calibri"/>
        <family val="2"/>
        <charset val="1"/>
      </rPr>
      <t>200 OK</t>
    </r>
    <r>
      <rPr>
        <sz val="11"/>
        <color theme="1"/>
        <rFont val="Calibri"/>
        <family val="2"/>
        <charset val="1"/>
      </rPr>
      <t xml:space="preserve"> when a new booking is successfully created. According to the expected REST API behavior, creating a new resource should return </t>
    </r>
    <r>
      <rPr>
        <b/>
        <sz val="11"/>
        <color theme="1"/>
        <rFont val="Calibri"/>
        <family val="2"/>
        <charset val="1"/>
      </rPr>
      <t>201 Created</t>
    </r>
    <r>
      <rPr>
        <sz val="11"/>
        <color theme="1"/>
        <rFont val="Calibri"/>
        <family val="2"/>
        <charset val="1"/>
      </rPr>
      <t>.</t>
    </r>
  </si>
  <si>
    <t>non</t>
  </si>
  <si>
    <t xml:space="preserve">1. POST /booking to create a booking with firstname='sahar', lastname='qat'
2. Capture returned bookingid
3. GET /booking?firstname=sahar&amp;lastname=FilterTest
4. Verify the captured bookingid appears in the returned list, STATUS CODD 201 </t>
  </si>
  <si>
    <t>The newly created booking's ID is present in the filtered results, confirming create-then-search consistency, BUT STATUS CODE 200</t>
  </si>
  <si>
    <t>low</t>
  </si>
  <si>
    <t>end</t>
  </si>
  <si>
    <t>NA</t>
  </si>
  <si>
    <t>DEF-018</t>
  </si>
  <si>
    <t>QA TEST SUMMARY REPORT</t>
  </si>
  <si>
    <t>Project Name:</t>
  </si>
  <si>
    <t>Test Cycle:</t>
  </si>
  <si>
    <t>Execution Date:</t>
  </si>
  <si>
    <t>QA Lead:</t>
  </si>
  <si>
    <t>Group1</t>
  </si>
  <si>
    <t>Overall Execution Metrics</t>
  </si>
  <si>
    <t>Defect Profile By Severity</t>
  </si>
  <si>
    <t>Metric Status</t>
  </si>
  <si>
    <t>Count</t>
  </si>
  <si>
    <t>Percentage</t>
  </si>
  <si>
    <t>Open Defects</t>
  </si>
  <si>
    <t>Closed Defects</t>
  </si>
  <si>
    <t>Total Defects</t>
  </si>
  <si>
    <t>Passed Tests</t>
  </si>
  <si>
    <t>Failed Tests</t>
  </si>
  <si>
    <t>Blocked Tests</t>
  </si>
  <si>
    <t>Total Test Cases</t>
  </si>
  <si>
    <t>Module / Feature</t>
  </si>
  <si>
    <t>Total Cases</t>
  </si>
  <si>
    <t>Passed</t>
  </si>
  <si>
    <t>Faild</t>
  </si>
  <si>
    <t>Pass Rate</t>
  </si>
  <si>
    <t>Restful  Booker API</t>
  </si>
  <si>
    <t>Automation Testing</t>
  </si>
  <si>
    <t>Run Summary</t>
  </si>
  <si>
    <t>Total Run</t>
  </si>
  <si>
    <t>Failed</t>
  </si>
  <si>
    <t>Error</t>
  </si>
  <si>
    <t>Duration</t>
  </si>
  <si>
    <t>Avg.Response</t>
  </si>
  <si>
    <t>23s 318ms</t>
  </si>
  <si>
    <t>768ms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</si>
</sst>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6">
    <font>
      <sz val="11"/>
      <color theme="1"/>
      <name val="Calibri"/>
      <family val="2"/>
      <charset val="1"/>
    </font>
    <font>
      <sz val="11"/>
      <color theme="1"/>
      <name val="Calibri"/>
      <family val="2"/>
      <scheme val="minor"/>
    </font>
    <font>
      <sz val="11"/>
      <name val="Calibri"/>
      <family val="2"/>
    </font>
    <font>
      <sz val="11"/>
      <color indexed="52"/>
      <name val="Calibri"/>
      <family val="2"/>
    </font>
    <font>
      <sz val="11"/>
      <color indexed="45"/>
      <name val="Calibri"/>
      <family val="2"/>
    </font>
    <font>
      <sz val="11"/>
      <color theme="1"/>
      <name val="Calibri"/>
      <family val="2"/>
      <scheme val="minor"/>
    </font>
    <font>
      <u/>
      <sz val="11"/>
      <color theme="10"/>
      <name val="Calibri"/>
      <family val="2"/>
      <charset val="1"/>
    </font>
    <font>
      <b/>
      <sz val="11"/>
      <color theme="1"/>
      <name val="Calibri"/>
      <family val="2"/>
      <scheme val="minor"/>
    </font>
    <font>
      <b/>
      <sz val="11"/>
      <color rgb="FFFFFFFF"/>
      <name val="Calibri"/>
      <family val="2"/>
    </font>
    <font>
      <sz val="11"/>
      <color rgb="FFFF0000"/>
      <name val="Calibri"/>
      <family val="2"/>
    </font>
    <font>
      <sz val="11"/>
      <color rgb="FF00B050"/>
      <name val="Calibri"/>
      <family val="2"/>
    </font>
    <font>
      <sz val="11"/>
      <color rgb="FF002060"/>
      <name val="Calibri"/>
      <family val="2"/>
    </font>
    <font>
      <sz val="11"/>
      <color theme="1"/>
      <name val="Cambria"/>
      <family val="1"/>
      <scheme val="major"/>
    </font>
    <font>
      <u/>
      <sz val="11"/>
      <color theme="1"/>
      <name val="Cambria"/>
      <family val="1"/>
      <scheme val="major"/>
    </font>
    <font>
      <sz val="9"/>
      <color theme="1"/>
      <name val="Cambria"/>
      <family val="1"/>
      <scheme val="major"/>
    </font>
    <font>
      <sz val="10"/>
      <color rgb="FF000000"/>
      <name val="Calibri"/>
    </font>
    <font>
      <b/>
      <sz val="14"/>
      <color rgb="FFFF0000"/>
      <name val="Calibri"/>
      <family val="2"/>
    </font>
    <font>
      <sz val="10"/>
      <color rgb="FF000000"/>
      <name val="Calibri"/>
      <family val="2"/>
    </font>
    <font>
      <b/>
      <sz val="10"/>
      <color rgb="FF155724"/>
      <name val="Calibri"/>
    </font>
    <font>
      <sz val="11"/>
      <color rgb="FF000000"/>
      <name val="Calibri"/>
      <family val="2"/>
    </font>
    <font>
      <sz val="10"/>
      <name val="Arial"/>
    </font>
    <font>
      <b/>
      <sz val="10"/>
      <name val="Arial"/>
    </font>
    <font>
      <b/>
      <sz val="10"/>
      <color rgb="FF006100"/>
      <name val="Arial"/>
    </font>
    <font>
      <b/>
      <sz val="10"/>
      <color rgb="FF9C0006"/>
      <name val="Arial"/>
    </font>
    <font>
      <sz val="10"/>
      <color rgb="FF000000"/>
      <name val="Arial"/>
    </font>
    <font>
      <sz val="10"/>
      <color rgb="FF000000"/>
      <name val="Arial"/>
      <charset val="1"/>
    </font>
    <font>
      <b/>
      <sz val="11"/>
      <color theme="1"/>
      <name val="Calibri"/>
      <family val="2"/>
      <charset val="1"/>
    </font>
    <font>
      <sz val="11"/>
      <color theme="0"/>
      <name val="Calibri"/>
      <family val="2"/>
      <scheme val="minor"/>
    </font>
    <font>
      <b/>
      <sz val="18"/>
      <color rgb="FF1B365D"/>
      <name val="Segoe UI"/>
    </font>
    <font>
      <b/>
      <sz val="10"/>
      <name val="Segoe UI"/>
    </font>
    <font>
      <sz val="10"/>
      <name val="Segoe UI"/>
    </font>
    <font>
      <b/>
      <sz val="13"/>
      <color rgb="FF1B365D"/>
      <name val="Segoe UI"/>
    </font>
    <font>
      <b/>
      <sz val="10"/>
      <color rgb="FFE36C09"/>
      <name val="Cambria"/>
      <family val="1"/>
      <scheme val="major"/>
    </font>
    <font>
      <b/>
      <sz val="10"/>
      <color rgb="FFBF8F00"/>
      <name val="Cambria"/>
      <family val="1"/>
      <scheme val="major"/>
    </font>
    <font>
      <b/>
      <sz val="10"/>
      <color rgb="FF548235"/>
      <name val="Cambria"/>
      <family val="1"/>
      <scheme val="major"/>
    </font>
    <font>
      <sz val="10"/>
      <name val="Cambria"/>
      <scheme val="major"/>
    </font>
  </fonts>
  <fills count="12">
    <fill>
      <patternFill patternType="none"/>
    </fill>
    <fill>
      <patternFill patternType="gray125"/>
    </fill>
    <fill>
      <patternFill patternType="solid">
        <fgColor theme="5" tint="0.59999389629810485"/>
        <bgColor indexed="65"/>
      </patternFill>
    </fill>
    <fill>
      <patternFill patternType="solid">
        <fgColor rgb="FF1F4E78"/>
        <bgColor rgb="FF003366"/>
      </patternFill>
    </fill>
    <fill>
      <patternFill patternType="solid">
        <fgColor rgb="FFDA9694"/>
        <bgColor rgb="FFD4EDDA"/>
      </patternFill>
    </fill>
    <fill>
      <patternFill patternType="solid">
        <fgColor rgb="FFD4EDDA"/>
        <bgColor rgb="FFD4EDDA"/>
      </patternFill>
    </fill>
    <fill>
      <patternFill patternType="solid">
        <fgColor rgb="FFFFC7CE"/>
        <bgColor rgb="FFFFC7CE"/>
      </patternFill>
    </fill>
    <fill>
      <patternFill patternType="solid">
        <fgColor rgb="FFC6EFCE"/>
        <bgColor rgb="FFC6EFCE"/>
      </patternFill>
    </fill>
    <fill>
      <patternFill patternType="solid">
        <fgColor theme="8"/>
      </patternFill>
    </fill>
    <fill>
      <patternFill patternType="solid">
        <fgColor theme="8" tint="0.79998168889431442"/>
        <bgColor indexed="65"/>
      </patternFill>
    </fill>
    <fill>
      <patternFill patternType="solid">
        <fgColor theme="0"/>
        <bgColor indexed="64"/>
      </patternFill>
    </fill>
    <fill>
      <patternFill patternType="solid">
        <fgColor rgb="FFFFFF00"/>
        <bgColor indexed="64"/>
      </patternFill>
    </fill>
  </fills>
  <borders count="24">
    <border>
      <left/>
      <right/>
      <top/>
      <bottom/>
      <diagonal/>
    </border>
    <border>
      <left/>
      <right/>
      <top/>
      <bottom style="thin">
        <color rgb="FFD9E1F2"/>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right style="thin">
        <color rgb="FFD3D3D3"/>
      </right>
      <top style="thin">
        <color rgb="FFD3D3D3"/>
      </top>
      <bottom style="thin">
        <color rgb="FFD3D3D3"/>
      </bottom>
      <diagonal/>
    </border>
    <border>
      <left/>
      <right style="thin">
        <color rgb="FFD3D3D3"/>
      </right>
      <top/>
      <bottom style="thin">
        <color rgb="FFD3D3D3"/>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bottom style="thin">
        <color rgb="FFB7B7B7"/>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D9D9D9"/>
      </left>
      <right style="thin">
        <color rgb="FFD9D9D9"/>
      </right>
      <top style="thin">
        <color rgb="FFD9D9D9"/>
      </top>
      <bottom style="thin">
        <color rgb="FFD9D9D9"/>
      </bottom>
      <diagonal/>
    </border>
    <border>
      <left/>
      <right/>
      <top style="thin">
        <color rgb="FFD3D3D3"/>
      </top>
      <bottom style="double">
        <color rgb="FF333333"/>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5" fillId="2" borderId="0" applyNumberFormat="0" applyBorder="0" applyAlignment="0" applyProtection="0"/>
    <xf numFmtId="0" fontId="6" fillId="0" borderId="0" applyNumberFormat="0" applyFill="0" applyBorder="0" applyAlignment="0" applyProtection="0"/>
    <xf numFmtId="0" fontId="27" fillId="8" borderId="0" applyNumberFormat="0" applyBorder="0" applyAlignment="0" applyProtection="0"/>
    <xf numFmtId="0" fontId="1" fillId="9" borderId="0" applyNumberFormat="0" applyBorder="0" applyAlignment="0" applyProtection="0"/>
  </cellStyleXfs>
  <cellXfs count="123">
    <xf numFmtId="0" fontId="0" fillId="0" borderId="0" xfId="0"/>
    <xf numFmtId="0" fontId="8" fillId="3"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0" fillId="0" borderId="0" xfId="0" applyAlignment="1">
      <alignment horizontal="center"/>
    </xf>
    <xf numFmtId="0" fontId="9" fillId="0" borderId="1" xfId="0" applyFont="1" applyBorder="1" applyAlignment="1">
      <alignment horizontal="center" vertical="center" wrapText="1"/>
    </xf>
    <xf numFmtId="0" fontId="9" fillId="0" borderId="0" xfId="0" applyFont="1" applyAlignment="1">
      <alignment vertical="center"/>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0" xfId="0" applyFont="1"/>
    <xf numFmtId="0" fontId="9" fillId="0" borderId="1" xfId="0" applyFont="1" applyBorder="1" applyAlignment="1">
      <alignment horizontal="center" vertical="top" wrapText="1"/>
    </xf>
    <xf numFmtId="0" fontId="10" fillId="0" borderId="0" xfId="0" applyFont="1" applyAlignment="1">
      <alignment vertical="top" wrapText="1"/>
    </xf>
    <xf numFmtId="0" fontId="10"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horizontal="center" vertical="top" wrapText="1"/>
    </xf>
    <xf numFmtId="0" fontId="9" fillId="0" borderId="0" xfId="0" applyFont="1" applyAlignment="1">
      <alignment horizontal="center" vertical="top" wrapText="1"/>
    </xf>
    <xf numFmtId="0" fontId="12" fillId="0" borderId="1" xfId="0" applyFont="1" applyBorder="1" applyAlignment="1">
      <alignment vertical="top" wrapText="1"/>
    </xf>
    <xf numFmtId="0" fontId="12" fillId="0" borderId="1" xfId="0" applyFont="1" applyBorder="1" applyAlignment="1">
      <alignment vertical="center" wrapText="1"/>
    </xf>
    <xf numFmtId="0" fontId="13" fillId="0" borderId="1" xfId="2" applyFont="1" applyFill="1" applyBorder="1" applyAlignment="1">
      <alignment vertical="center" wrapText="1"/>
    </xf>
    <xf numFmtId="0" fontId="13" fillId="0" borderId="1" xfId="2" applyFont="1" applyBorder="1" applyAlignment="1">
      <alignment vertical="top" wrapText="1"/>
    </xf>
    <xf numFmtId="0" fontId="12" fillId="0" borderId="0" xfId="0" applyFont="1" applyAlignment="1">
      <alignment vertical="top" wrapText="1"/>
    </xf>
    <xf numFmtId="0" fontId="14" fillId="0" borderId="0" xfId="0" applyFont="1" applyAlignment="1">
      <alignment vertical="center"/>
    </xf>
    <xf numFmtId="0" fontId="12" fillId="0" borderId="0" xfId="0" applyFont="1" applyAlignment="1">
      <alignment horizontal="left" vertical="center" wrapText="1"/>
    </xf>
    <xf numFmtId="0" fontId="7" fillId="2" borderId="0" xfId="1" applyFont="1" applyAlignment="1">
      <alignment horizontal="center" vertical="center"/>
    </xf>
    <xf numFmtId="0" fontId="7" fillId="2" borderId="0" xfId="1" applyFont="1" applyBorder="1" applyAlignment="1">
      <alignment horizontal="center" vertical="center" wrapText="1"/>
    </xf>
    <xf numFmtId="0" fontId="15" fillId="0" borderId="4" xfId="0" applyFont="1" applyBorder="1"/>
    <xf numFmtId="0" fontId="17" fillId="0" borderId="4" xfId="0" applyFont="1" applyBorder="1" applyAlignment="1">
      <alignment wrapText="1"/>
    </xf>
    <xf numFmtId="0" fontId="15" fillId="0" borderId="5" xfId="0" applyFont="1" applyBorder="1"/>
    <xf numFmtId="0" fontId="15" fillId="0" borderId="5" xfId="0" applyFont="1" applyBorder="1" applyAlignment="1">
      <alignment wrapText="1"/>
    </xf>
    <xf numFmtId="0" fontId="2" fillId="0" borderId="0" xfId="0" applyFont="1" applyAlignment="1">
      <alignment horizontal="center" vertical="top" wrapText="1"/>
    </xf>
    <xf numFmtId="0" fontId="15" fillId="0" borderId="2" xfId="0" applyFont="1" applyBorder="1" applyAlignment="1">
      <alignment vertical="center"/>
    </xf>
    <xf numFmtId="0" fontId="15" fillId="0" borderId="2" xfId="0" applyFont="1" applyBorder="1" applyAlignment="1">
      <alignment vertical="center" wrapText="1"/>
    </xf>
    <xf numFmtId="0" fontId="15" fillId="0" borderId="4" xfId="0" applyFont="1" applyBorder="1" applyAlignment="1">
      <alignment vertical="center"/>
    </xf>
    <xf numFmtId="0" fontId="15" fillId="0" borderId="4" xfId="0" applyFont="1" applyBorder="1" applyAlignment="1">
      <alignment vertical="center" wrapText="1"/>
    </xf>
    <xf numFmtId="0" fontId="15" fillId="0" borderId="3" xfId="0" applyFont="1" applyBorder="1" applyAlignment="1">
      <alignment vertical="center" wrapText="1"/>
    </xf>
    <xf numFmtId="0" fontId="15" fillId="0" borderId="5" xfId="0" applyFont="1" applyBorder="1" applyAlignment="1">
      <alignment vertical="center"/>
    </xf>
    <xf numFmtId="0" fontId="15" fillId="0" borderId="5" xfId="0" applyFont="1" applyBorder="1" applyAlignment="1">
      <alignment vertical="center" wrapText="1"/>
    </xf>
    <xf numFmtId="0" fontId="19" fillId="0" borderId="0" xfId="0" applyFont="1" applyAlignment="1">
      <alignment vertical="center"/>
    </xf>
    <xf numFmtId="0" fontId="16" fillId="4" borderId="4" xfId="0" applyFont="1" applyFill="1" applyBorder="1" applyAlignment="1">
      <alignment horizontal="center" vertical="center"/>
    </xf>
    <xf numFmtId="0" fontId="18" fillId="5" borderId="5" xfId="0" applyFont="1" applyFill="1" applyBorder="1" applyAlignment="1">
      <alignment horizontal="center" vertical="center"/>
    </xf>
    <xf numFmtId="0" fontId="0" fillId="0" borderId="6" xfId="0" applyBorder="1" applyAlignment="1">
      <alignment vertical="top"/>
    </xf>
    <xf numFmtId="0" fontId="0" fillId="0" borderId="6" xfId="0" applyBorder="1" applyAlignment="1">
      <alignment vertical="top" wrapText="1"/>
    </xf>
    <xf numFmtId="0" fontId="12" fillId="0" borderId="6" xfId="0" applyFont="1" applyBorder="1" applyAlignment="1">
      <alignment vertical="top" wrapText="1"/>
    </xf>
    <xf numFmtId="0" fontId="12" fillId="0" borderId="6" xfId="0" applyFont="1" applyBorder="1" applyAlignment="1">
      <alignment vertical="center" wrapText="1"/>
    </xf>
    <xf numFmtId="0" fontId="0" fillId="0" borderId="6" xfId="0" applyBorder="1"/>
    <xf numFmtId="0" fontId="20" fillId="0" borderId="8" xfId="0" applyFont="1" applyBorder="1" applyAlignment="1">
      <alignment wrapText="1"/>
    </xf>
    <xf numFmtId="0" fontId="20" fillId="0" borderId="7" xfId="0" applyFont="1" applyBorder="1" applyAlignment="1">
      <alignment vertical="center" wrapText="1"/>
    </xf>
    <xf numFmtId="0" fontId="20" fillId="0" borderId="8" xfId="0" applyFont="1" applyBorder="1" applyAlignment="1">
      <alignmen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20" fillId="0" borderId="9" xfId="0" applyFont="1" applyBorder="1" applyAlignment="1">
      <alignment vertical="center" wrapText="1"/>
    </xf>
    <xf numFmtId="0" fontId="20" fillId="0" borderId="10" xfId="0" applyFont="1" applyBorder="1" applyAlignment="1">
      <alignment vertical="center" wrapText="1"/>
    </xf>
    <xf numFmtId="0" fontId="18" fillId="5" borderId="5" xfId="0" applyFont="1" applyFill="1" applyBorder="1" applyAlignment="1">
      <alignment horizontal="center" vertical="center" wrapText="1"/>
    </xf>
    <xf numFmtId="0" fontId="21" fillId="6" borderId="8" xfId="0" applyFont="1" applyFill="1" applyBorder="1" applyAlignment="1">
      <alignment vertical="center" wrapText="1"/>
    </xf>
    <xf numFmtId="0" fontId="21" fillId="6" borderId="10" xfId="0" applyFont="1" applyFill="1" applyBorder="1" applyAlignment="1">
      <alignment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0" borderId="13" xfId="0" applyFont="1" applyBorder="1" applyAlignment="1">
      <alignment vertical="center" wrapText="1"/>
    </xf>
    <xf numFmtId="0" fontId="20" fillId="0" borderId="14" xfId="0" applyFont="1" applyBorder="1" applyAlignment="1">
      <alignmen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20" fillId="0" borderId="14" xfId="0" applyFont="1" applyBorder="1" applyAlignment="1">
      <alignment horizontal="left" vertical="center" wrapText="1"/>
    </xf>
    <xf numFmtId="0" fontId="23" fillId="6" borderId="12" xfId="0" applyFont="1" applyFill="1" applyBorder="1" applyAlignment="1">
      <alignment vertical="center"/>
    </xf>
    <xf numFmtId="0" fontId="23" fillId="6" borderId="14" xfId="0" applyFont="1" applyFill="1" applyBorder="1" applyAlignment="1">
      <alignment vertical="center"/>
    </xf>
    <xf numFmtId="0" fontId="22" fillId="7" borderId="14" xfId="0" applyFont="1" applyFill="1" applyBorder="1" applyAlignment="1">
      <alignment vertical="center"/>
    </xf>
    <xf numFmtId="0" fontId="24" fillId="0" borderId="12" xfId="0" applyFont="1" applyBorder="1" applyAlignment="1">
      <alignment vertical="center"/>
    </xf>
    <xf numFmtId="0" fontId="24" fillId="0" borderId="14" xfId="0" applyFont="1" applyBorder="1" applyAlignment="1">
      <alignment vertical="center"/>
    </xf>
    <xf numFmtId="0" fontId="25" fillId="0" borderId="0" xfId="0" applyFont="1"/>
    <xf numFmtId="0" fontId="20" fillId="0" borderId="11" xfId="0" applyFont="1" applyFill="1" applyBorder="1" applyAlignment="1">
      <alignment vertical="center" wrapText="1"/>
    </xf>
    <xf numFmtId="0" fontId="20" fillId="0" borderId="12" xfId="0" applyFont="1" applyFill="1" applyBorder="1" applyAlignment="1">
      <alignment vertical="center" wrapText="1"/>
    </xf>
    <xf numFmtId="0" fontId="0" fillId="0" borderId="0" xfId="0" applyAlignment="1">
      <alignment vertical="center"/>
    </xf>
    <xf numFmtId="0" fontId="28" fillId="10" borderId="0" xfId="0" applyFont="1" applyFill="1"/>
    <xf numFmtId="0" fontId="0" fillId="10" borderId="0" xfId="0" applyFill="1"/>
    <xf numFmtId="0" fontId="29" fillId="10" borderId="0" xfId="0" applyFont="1" applyFill="1"/>
    <xf numFmtId="0" fontId="30" fillId="10" borderId="0" xfId="0" applyFont="1" applyFill="1"/>
    <xf numFmtId="0" fontId="31" fillId="10" borderId="0" xfId="0" applyFont="1" applyFill="1"/>
    <xf numFmtId="0" fontId="30" fillId="10" borderId="2" xfId="0" applyFont="1" applyFill="1" applyBorder="1"/>
    <xf numFmtId="0" fontId="0" fillId="10" borderId="2" xfId="0" applyFill="1" applyBorder="1" applyAlignment="1">
      <alignment horizontal="right"/>
    </xf>
    <xf numFmtId="164" fontId="0" fillId="10" borderId="2" xfId="0" applyNumberFormat="1" applyFill="1" applyBorder="1" applyAlignment="1">
      <alignment horizontal="right"/>
    </xf>
    <xf numFmtId="0" fontId="32" fillId="10" borderId="15" xfId="0" applyFont="1" applyFill="1" applyBorder="1" applyAlignment="1">
      <alignment horizontal="center" vertical="center" wrapText="1"/>
    </xf>
    <xf numFmtId="0" fontId="29" fillId="10" borderId="2" xfId="0" applyFont="1" applyFill="1" applyBorder="1" applyAlignment="1">
      <alignment horizontal="right"/>
    </xf>
    <xf numFmtId="0" fontId="33" fillId="10" borderId="15" xfId="0" applyFont="1" applyFill="1" applyBorder="1" applyAlignment="1">
      <alignment horizontal="center" vertical="center" wrapText="1"/>
    </xf>
    <xf numFmtId="0" fontId="34" fillId="10" borderId="15" xfId="0" applyFont="1" applyFill="1" applyBorder="1" applyAlignment="1">
      <alignment horizontal="center" vertical="center" wrapText="1"/>
    </xf>
    <xf numFmtId="0" fontId="29" fillId="10" borderId="16" xfId="0" applyFont="1" applyFill="1" applyBorder="1"/>
    <xf numFmtId="0" fontId="29" fillId="10" borderId="16" xfId="0" applyFont="1" applyFill="1" applyBorder="1" applyAlignment="1">
      <alignment horizontal="right"/>
    </xf>
    <xf numFmtId="164" fontId="29" fillId="10" borderId="16" xfId="0" applyNumberFormat="1" applyFont="1" applyFill="1" applyBorder="1" applyAlignment="1">
      <alignment horizontal="right"/>
    </xf>
    <xf numFmtId="0" fontId="29" fillId="10" borderId="16" xfId="0" applyFont="1" applyFill="1" applyBorder="1" applyAlignment="1">
      <alignment horizontal="center"/>
    </xf>
    <xf numFmtId="0" fontId="30" fillId="10" borderId="0" xfId="0" applyFont="1" applyFill="1" applyBorder="1" applyAlignment="1">
      <alignment horizontal="right"/>
    </xf>
    <xf numFmtId="164" fontId="30" fillId="10" borderId="0" xfId="0" applyNumberFormat="1" applyFont="1" applyFill="1" applyBorder="1" applyAlignment="1">
      <alignment horizontal="right"/>
    </xf>
    <xf numFmtId="0" fontId="35" fillId="0" borderId="0" xfId="0" applyFont="1" applyFill="1" applyBorder="1" applyAlignment="1">
      <alignment vertical="center" wrapText="1"/>
    </xf>
    <xf numFmtId="15" fontId="30" fillId="10" borderId="0" xfId="0" applyNumberFormat="1" applyFont="1" applyFill="1" applyAlignment="1">
      <alignment horizontal="left"/>
    </xf>
    <xf numFmtId="0" fontId="15" fillId="0" borderId="1" xfId="0" applyFont="1" applyBorder="1" applyAlignment="1">
      <alignment vertical="center" wrapText="1"/>
    </xf>
    <xf numFmtId="0" fontId="20" fillId="0" borderId="1" xfId="0" applyFont="1" applyBorder="1" applyAlignment="1">
      <alignment horizontal="left" vertical="center" wrapText="1"/>
    </xf>
    <xf numFmtId="0" fontId="30" fillId="10" borderId="0" xfId="0" applyFont="1" applyFill="1" applyBorder="1" applyAlignment="1">
      <alignment horizontal="center"/>
    </xf>
    <xf numFmtId="0" fontId="27" fillId="8" borderId="0" xfId="3"/>
    <xf numFmtId="0" fontId="1" fillId="9" borderId="17" xfId="4" applyBorder="1" applyAlignment="1">
      <alignment horizontal="center"/>
    </xf>
    <xf numFmtId="0" fontId="1" fillId="9" borderId="18" xfId="4" applyBorder="1" applyAlignment="1">
      <alignment horizontal="center"/>
    </xf>
    <xf numFmtId="0" fontId="0" fillId="0" borderId="20" xfId="0" applyBorder="1" applyAlignment="1">
      <alignment horizontal="center"/>
    </xf>
    <xf numFmtId="0" fontId="0" fillId="0" borderId="0" xfId="0" applyBorder="1" applyAlignment="1">
      <alignment horizontal="center"/>
    </xf>
    <xf numFmtId="0" fontId="0" fillId="0" borderId="21"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7" fillId="8" borderId="0" xfId="3" applyAlignment="1">
      <alignment horizontal="center"/>
    </xf>
    <xf numFmtId="0" fontId="27" fillId="8" borderId="0" xfId="3" applyBorder="1" applyAlignment="1">
      <alignment horizontal="center" vertical="center"/>
    </xf>
    <xf numFmtId="0" fontId="27" fillId="8" borderId="0" xfId="3" applyAlignment="1">
      <alignment horizontal="center" vertical="center"/>
    </xf>
    <xf numFmtId="0" fontId="12" fillId="11" borderId="6" xfId="0" applyFont="1" applyFill="1" applyBorder="1" applyAlignment="1">
      <alignment vertical="top" wrapText="1"/>
    </xf>
    <xf numFmtId="0" fontId="0" fillId="11" borderId="6" xfId="0" applyFill="1" applyBorder="1" applyAlignment="1">
      <alignment vertical="top"/>
    </xf>
    <xf numFmtId="0" fontId="0" fillId="11" borderId="6" xfId="0" applyFill="1" applyBorder="1" applyAlignment="1">
      <alignment vertical="top" wrapText="1"/>
    </xf>
    <xf numFmtId="0" fontId="0" fillId="11" borderId="6" xfId="0" applyFill="1" applyBorder="1"/>
    <xf numFmtId="0" fontId="0" fillId="11" borderId="0" xfId="0" applyFill="1"/>
    <xf numFmtId="0" fontId="12" fillId="11" borderId="1" xfId="0" applyFont="1" applyFill="1" applyBorder="1" applyAlignment="1">
      <alignment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vertical="top" wrapText="1"/>
    </xf>
    <xf numFmtId="0" fontId="12" fillId="11" borderId="0" xfId="0" applyFont="1" applyFill="1" applyAlignment="1">
      <alignment vertical="top" wrapText="1"/>
    </xf>
    <xf numFmtId="0" fontId="9" fillId="11" borderId="0" xfId="0" applyFont="1" applyFill="1" applyAlignment="1">
      <alignment horizontal="center" vertical="top" wrapText="1"/>
    </xf>
    <xf numFmtId="0" fontId="9" fillId="11" borderId="1" xfId="0" applyFont="1" applyFill="1" applyBorder="1" applyAlignment="1">
      <alignment horizontal="center" vertical="center" wrapText="1"/>
    </xf>
    <xf numFmtId="0" fontId="2" fillId="11" borderId="0" xfId="0" applyFont="1" applyFill="1" applyAlignment="1">
      <alignment horizontal="center" vertical="top" wrapText="1"/>
    </xf>
    <xf numFmtId="0" fontId="2" fillId="11" borderId="0" xfId="0" applyFont="1" applyFill="1" applyAlignment="1">
      <alignment vertical="top" wrapText="1"/>
    </xf>
    <xf numFmtId="0" fontId="10" fillId="11" borderId="0" xfId="0" applyFont="1" applyFill="1" applyAlignment="1">
      <alignment horizontal="center" vertical="top" wrapText="1"/>
    </xf>
  </cellXfs>
  <cellStyles count="5">
    <cellStyle name="20% - Accent5" xfId="4" builtinId="46"/>
    <cellStyle name="40% - Accent2" xfId="1" builtinId="35"/>
    <cellStyle name="Accent5" xfId="3" builtinId="45"/>
    <cellStyle name="Hyperlink" xfId="2" builtinId="8"/>
    <cellStyle name="Normal" xfId="0" builtinId="0"/>
  </cellStyles>
  <dxfs count="17">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b val="0"/>
        <i val="0"/>
        <strike val="0"/>
        <condense val="0"/>
        <extend val="0"/>
        <outline val="0"/>
        <shadow val="0"/>
        <u val="none"/>
        <vertAlign val="baseline"/>
        <sz val="10"/>
        <color auto="1"/>
        <name val="Segoe UI"/>
        <scheme val="none"/>
      </font>
      <numFmt numFmtId="164" formatCode="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egoe UI"/>
        <scheme val="none"/>
      </font>
      <numFmt numFmtId="164" formatCode="0.0%"/>
      <fill>
        <patternFill>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Segoe UI"/>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egoe UI"/>
        <scheme val="none"/>
      </font>
      <fill>
        <patternFill>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Segoe UI"/>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egoe UI"/>
        <scheme val="none"/>
      </font>
      <fill>
        <patternFill>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Segoe UI"/>
        <scheme val="none"/>
      </font>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egoe UI"/>
        <scheme val="none"/>
      </font>
      <numFmt numFmtId="0" formatCode="General"/>
      <fill>
        <patternFill>
          <bgColor theme="0"/>
        </patternFill>
      </fill>
      <alignment horizontal="center" vertical="bottom" textRotation="0" wrapText="0" indent="0" justifyLastLine="0" shrinkToFit="0" readingOrder="0"/>
      <border outline="0">
        <left style="thin">
          <color rgb="FFD9D9D9"/>
        </left>
        <right/>
      </border>
    </dxf>
    <dxf>
      <font>
        <b val="0"/>
        <i val="0"/>
        <strike val="0"/>
        <condense val="0"/>
        <extend val="0"/>
        <outline val="0"/>
        <shadow val="0"/>
        <u val="none"/>
        <vertAlign val="baseline"/>
        <sz val="10"/>
        <color auto="1"/>
        <name val="Cambria"/>
        <scheme val="major"/>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Cambria"/>
        <scheme val="major"/>
      </font>
      <fill>
        <patternFill patternType="none">
          <fgColor indexed="64"/>
          <bgColor indexed="65"/>
        </patternFill>
      </fill>
      <alignment horizontal="general" vertical="bottom" textRotation="0" wrapText="1" indent="0" justifyLastLine="0" shrinkToFit="0" readingOrder="0"/>
    </dxf>
    <dxf>
      <alignment horizontal="right" vertical="bottom"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Test Execution Status Breakdown</a:t>
            </a:r>
          </a:p>
        </c:rich>
      </c:tx>
      <c:layout/>
      <c:overlay val="0"/>
    </c:title>
    <c:autoTitleDeleted val="0"/>
    <c:plotArea>
      <c:layout>
        <c:manualLayout>
          <c:layoutTarget val="inner"/>
          <c:xMode val="edge"/>
          <c:yMode val="edge"/>
          <c:x val="0.14729805627443424"/>
          <c:y val="0.18503404979782934"/>
          <c:w val="0.85270194372556574"/>
          <c:h val="0.60209796410583816"/>
        </c:manualLayout>
      </c:layout>
      <c:barChart>
        <c:barDir val="col"/>
        <c:grouping val="clustered"/>
        <c:varyColors val="0"/>
        <c:ser>
          <c:idx val="0"/>
          <c:order val="0"/>
          <c:tx>
            <c:strRef>
              <c:f>'[1]Test Summary Dashboard'!$B$11</c:f>
              <c:strCache>
                <c:ptCount val="1"/>
                <c:pt idx="0">
                  <c:v>Count</c:v>
                </c:pt>
              </c:strCache>
            </c:strRef>
          </c:tx>
          <c:spPr>
            <a:ln>
              <a:prstDash val="solid"/>
            </a:ln>
          </c:spPr>
          <c:invertIfNegative val="0"/>
          <c:cat>
            <c:strRef>
              <c:f>'[1]Test Summary Dashboard'!$A$12:$A$14</c:f>
              <c:strCache>
                <c:ptCount val="3"/>
                <c:pt idx="0">
                  <c:v>Passed Tests</c:v>
                </c:pt>
                <c:pt idx="1">
                  <c:v>Failed Tests</c:v>
                </c:pt>
                <c:pt idx="2">
                  <c:v>Blocked Tests</c:v>
                </c:pt>
              </c:strCache>
            </c:strRef>
          </c:cat>
          <c:val>
            <c:numRef>
              <c:f>'[1]Test Summary Dashboard'!$B$12:$B$14</c:f>
              <c:numCache>
                <c:formatCode>General</c:formatCode>
                <c:ptCount val="3"/>
                <c:pt idx="0">
                  <c:v>113</c:v>
                </c:pt>
                <c:pt idx="1">
                  <c:v>32</c:v>
                </c:pt>
                <c:pt idx="2">
                  <c:v>0</c:v>
                </c:pt>
              </c:numCache>
            </c:numRef>
          </c:val>
        </c:ser>
        <c:dLbls>
          <c:showLegendKey val="0"/>
          <c:showVal val="0"/>
          <c:showCatName val="0"/>
          <c:showSerName val="0"/>
          <c:showPercent val="0"/>
          <c:showBubbleSize val="0"/>
        </c:dLbls>
        <c:gapWidth val="150"/>
        <c:axId val="-891622944"/>
        <c:axId val="-891613696"/>
      </c:barChart>
      <c:catAx>
        <c:axId val="-891622944"/>
        <c:scaling>
          <c:orientation val="minMax"/>
        </c:scaling>
        <c:delete val="0"/>
        <c:axPos val="b"/>
        <c:title>
          <c:tx>
            <c:rich>
              <a:bodyPr/>
              <a:lstStyle/>
              <a:p>
                <a:pPr>
                  <a:defRPr/>
                </a:pPr>
                <a:r>
                  <a:rPr lang="en-US"/>
                  <a:t>Status</a:t>
                </a:r>
              </a:p>
            </c:rich>
          </c:tx>
          <c:layout/>
          <c:overlay val="0"/>
        </c:title>
        <c:numFmt formatCode="General" sourceLinked="1"/>
        <c:majorTickMark val="none"/>
        <c:minorTickMark val="none"/>
        <c:tickLblPos val="nextTo"/>
        <c:crossAx val="-891613696"/>
        <c:crosses val="autoZero"/>
        <c:auto val="0"/>
        <c:lblAlgn val="ctr"/>
        <c:lblOffset val="100"/>
        <c:noMultiLvlLbl val="0"/>
      </c:catAx>
      <c:valAx>
        <c:axId val="-891613696"/>
        <c:scaling>
          <c:orientation val="minMax"/>
        </c:scaling>
        <c:delete val="0"/>
        <c:axPos val="l"/>
        <c:majorGridlines/>
        <c:title>
          <c:tx>
            <c:rich>
              <a:bodyPr/>
              <a:lstStyle/>
              <a:p>
                <a:pPr>
                  <a:defRPr/>
                </a:pPr>
                <a:r>
                  <a:rPr lang="en-US"/>
                  <a:t>Number of Test Cases</a:t>
                </a:r>
              </a:p>
            </c:rich>
          </c:tx>
          <c:layout/>
          <c:overlay val="0"/>
        </c:title>
        <c:numFmt formatCode="General" sourceLinked="1"/>
        <c:majorTickMark val="none"/>
        <c:minorTickMark val="none"/>
        <c:tickLblPos val="nextTo"/>
        <c:crossAx val="-891622944"/>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295276</xdr:colOff>
      <xdr:row>22</xdr:row>
      <xdr:rowOff>180975</xdr:rowOff>
    </xdr:from>
    <xdr:to>
      <xdr:col>11</xdr:col>
      <xdr:colOff>514351</xdr:colOff>
      <xdr:row>37</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QA\project%201\QA%20Test_Summary%20Report-Rentor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Summary Dashboard"/>
      <sheetName val="Test Execution Details"/>
      <sheetName val="Detailed Test Cases"/>
      <sheetName val="bugs report "/>
    </sheetNames>
    <sheetDataSet>
      <sheetData sheetId="0">
        <row r="11">
          <cell r="B11" t="str">
            <v>Count</v>
          </cell>
        </row>
        <row r="12">
          <cell r="A12" t="str">
            <v>Passed Tests</v>
          </cell>
          <cell r="B12">
            <v>113</v>
          </cell>
        </row>
        <row r="13">
          <cell r="A13" t="str">
            <v>Failed Tests</v>
          </cell>
          <cell r="B13">
            <v>32</v>
          </cell>
        </row>
        <row r="14">
          <cell r="A14" t="str">
            <v>Blocked Tests</v>
          </cell>
          <cell r="B14">
            <v>0</v>
          </cell>
        </row>
      </sheetData>
      <sheetData sheetId="1"/>
      <sheetData sheetId="2"/>
      <sheetData sheetId="3"/>
    </sheetDataSet>
  </externalBook>
</externalLink>
</file>

<file path=xl/tables/table1.xml><?xml version="1.0" encoding="utf-8"?>
<table xmlns="http://schemas.openxmlformats.org/spreadsheetml/2006/main" id="1" name="Table110" displayName="Table110" ref="A23:E32" totalsRowCount="1" headerRowDxfId="15" dataDxfId="14" headerRowCellStyle="Accent5">
  <autoFilter ref="A23:E31"/>
  <tableColumns count="5">
    <tableColumn id="1" name="Module / Feature" dataDxfId="13" totalsRowDxfId="12"/>
    <tableColumn id="2" name="Total Cases" totalsRowFunction="sum" dataDxfId="11" totalsRowDxfId="10">
      <calculatedColumnFormula>COUNTIFS('API Test Cases'!B:B,Table110[[#This Row],[Module / Feature]])</calculatedColumnFormula>
    </tableColumn>
    <tableColumn id="3" name="Passed" totalsRowFunction="sum" dataDxfId="9" totalsRowDxfId="8">
      <calculatedColumnFormula>COUNTIFS('API Test Cases'!B:B,Table110[[#This Row],[Module / Feature]],'API Test Cases'!M:M,"Pass")</calculatedColumnFormula>
    </tableColumn>
    <tableColumn id="4" name="Faild" totalsRowFunction="sum" dataDxfId="7" totalsRowDxfId="6">
      <calculatedColumnFormula>COUNTIFS('API Test Cases'!B:B,Table110[[#This Row],[Module / Feature]],'API Test Cases'!M:M,"Fail")</calculatedColumnFormula>
    </tableColumn>
    <tableColumn id="5" name="Pass Rate" totalsRowFunction="custom" dataDxfId="5" totalsRowDxfId="4">
      <calculatedColumnFormula>C24/$B$32</calculatedColumnFormula>
      <totalsRowFormula>C32/B32</totalsRow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restful-booker.herokuapp.com/booking/2147483647" TargetMode="External"/><Relationship Id="rId2" Type="http://schemas.openxmlformats.org/officeDocument/2006/relationships/hyperlink" Target="https://restful-booker.herokuapp.com/booking/sahar" TargetMode="External"/><Relationship Id="rId1" Type="http://schemas.openxmlformats.org/officeDocument/2006/relationships/hyperlink" Target="https://restful-booker.herokuapp.com/booking?checkin=2022-01-31&amp;checkout=2022-01-01" TargetMode="External"/><Relationship Id="rId6" Type="http://schemas.openxmlformats.org/officeDocument/2006/relationships/printerSettings" Target="../printerSettings/printerSettings2.bin"/><Relationship Id="rId5" Type="http://schemas.openxmlformats.org/officeDocument/2006/relationships/hyperlink" Target="https://restful-booker.herokuapp.com/booking?checkin=2026-13-45" TargetMode="External"/><Relationship Id="rId4" Type="http://schemas.openxmlformats.org/officeDocument/2006/relationships/hyperlink" Target="https://restful-booker.herokuapp.com/booking?checkin=01-01-202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2"/>
  <sheetViews>
    <sheetView workbookViewId="0">
      <selection activeCell="A23" sqref="A23:E23"/>
    </sheetView>
  </sheetViews>
  <sheetFormatPr defaultRowHeight="15"/>
  <cols>
    <col min="1" max="1" width="30.85546875" style="75" customWidth="1"/>
    <col min="2" max="2" width="16.5703125" style="75" customWidth="1"/>
    <col min="3" max="3" width="14" style="75" customWidth="1"/>
    <col min="4" max="4" width="17.42578125" style="75" customWidth="1"/>
    <col min="5" max="5" width="19.5703125" style="75" customWidth="1"/>
    <col min="6" max="6" width="16" style="75" customWidth="1"/>
    <col min="7" max="7" width="18" style="75" customWidth="1"/>
    <col min="8" max="8" width="17" style="75" customWidth="1"/>
    <col min="9" max="45" width="9.140625" style="75"/>
  </cols>
  <sheetData>
    <row r="1" spans="1:45" ht="26.25">
      <c r="A1" s="74" t="s">
        <v>724</v>
      </c>
    </row>
    <row r="3" spans="1:45">
      <c r="A3" s="76" t="s">
        <v>725</v>
      </c>
      <c r="B3" s="77" t="s">
        <v>747</v>
      </c>
    </row>
    <row r="4" spans="1:45">
      <c r="A4" s="76" t="s">
        <v>726</v>
      </c>
      <c r="B4" s="77" t="s">
        <v>748</v>
      </c>
    </row>
    <row r="5" spans="1:45">
      <c r="A5" s="76" t="s">
        <v>727</v>
      </c>
      <c r="B5" s="93">
        <v>46254</v>
      </c>
    </row>
    <row r="6" spans="1:45">
      <c r="A6" s="76" t="s">
        <v>728</v>
      </c>
      <c r="B6" s="77" t="s">
        <v>729</v>
      </c>
    </row>
    <row r="7" spans="1:45">
      <c r="A7" s="76"/>
      <c r="B7" s="77"/>
    </row>
    <row r="8" spans="1:45">
      <c r="A8" s="76"/>
      <c r="B8" s="97" t="s">
        <v>749</v>
      </c>
    </row>
    <row r="9" spans="1:45">
      <c r="B9" s="98" t="s">
        <v>750</v>
      </c>
      <c r="C9" s="99" t="s">
        <v>26</v>
      </c>
      <c r="D9" s="98" t="s">
        <v>751</v>
      </c>
    </row>
    <row r="10" spans="1:45">
      <c r="B10" s="100">
        <v>161</v>
      </c>
      <c r="C10" s="101">
        <v>125</v>
      </c>
      <c r="D10" s="102">
        <v>36</v>
      </c>
    </row>
    <row r="11" spans="1:45">
      <c r="B11" s="98" t="s">
        <v>752</v>
      </c>
      <c r="C11" s="98" t="s">
        <v>753</v>
      </c>
      <c r="D11" s="98" t="s">
        <v>754</v>
      </c>
    </row>
    <row r="12" spans="1:45">
      <c r="B12" s="103">
        <v>0</v>
      </c>
      <c r="C12" s="104" t="s">
        <v>755</v>
      </c>
      <c r="D12" s="105" t="s">
        <v>756</v>
      </c>
    </row>
    <row r="13" spans="1:45">
      <c r="AQ13"/>
      <c r="AR13"/>
      <c r="AS13"/>
    </row>
    <row r="15" spans="1:45" ht="18.75">
      <c r="A15" s="78" t="s">
        <v>730</v>
      </c>
      <c r="E15" s="78" t="s">
        <v>731</v>
      </c>
    </row>
    <row r="16" spans="1:45">
      <c r="A16" s="106" t="s">
        <v>732</v>
      </c>
      <c r="B16" s="106" t="s">
        <v>733</v>
      </c>
      <c r="C16" s="106" t="s">
        <v>734</v>
      </c>
      <c r="E16" s="106" t="s">
        <v>607</v>
      </c>
      <c r="F16" s="106" t="s">
        <v>735</v>
      </c>
      <c r="G16" s="106" t="s">
        <v>736</v>
      </c>
      <c r="H16" s="106" t="s">
        <v>737</v>
      </c>
    </row>
    <row r="17" spans="1:45">
      <c r="A17" s="79" t="s">
        <v>738</v>
      </c>
      <c r="B17" s="80">
        <f>COUNTIF('API Test Cases'!M:M, "Pass")</f>
        <v>67</v>
      </c>
      <c r="C17" s="81">
        <f>B17/B20</f>
        <v>0.69072164948453607</v>
      </c>
      <c r="E17" s="82" t="s">
        <v>621</v>
      </c>
      <c r="F17" s="80">
        <f>COUNTIF('Bug Report '!K:K,'Summary Report '!E17)</f>
        <v>7</v>
      </c>
      <c r="G17" s="80">
        <v>0</v>
      </c>
      <c r="H17" s="83">
        <f>F17+G17</f>
        <v>7</v>
      </c>
    </row>
    <row r="18" spans="1:45">
      <c r="A18" s="79" t="s">
        <v>739</v>
      </c>
      <c r="B18" s="80">
        <f>COUNTIF('API Test Cases'!M:M, "Fail")</f>
        <v>30</v>
      </c>
      <c r="C18" s="81">
        <f>B18/B20</f>
        <v>0.30927835051546393</v>
      </c>
      <c r="E18" s="84" t="s">
        <v>615</v>
      </c>
      <c r="F18" s="80">
        <f>COUNTIF('Bug Report '!K:K,'Summary Report '!E18)</f>
        <v>8</v>
      </c>
      <c r="G18" s="80">
        <v>0</v>
      </c>
      <c r="H18" s="83">
        <f>F18+G18</f>
        <v>8</v>
      </c>
    </row>
    <row r="19" spans="1:45">
      <c r="A19" s="79" t="s">
        <v>740</v>
      </c>
      <c r="B19" s="80">
        <v>0</v>
      </c>
      <c r="C19" s="81">
        <f>B19/B20</f>
        <v>0</v>
      </c>
      <c r="E19" s="85" t="s">
        <v>680</v>
      </c>
      <c r="F19" s="80">
        <f>COUNTIF('Bug Report '!K:K,'Summary Report '!E19)</f>
        <v>3</v>
      </c>
      <c r="G19" s="80">
        <v>0</v>
      </c>
      <c r="H19" s="83">
        <f>F19+G19</f>
        <v>3</v>
      </c>
    </row>
    <row r="20" spans="1:45" ht="15.75" thickBot="1">
      <c r="A20" s="86" t="s">
        <v>741</v>
      </c>
      <c r="B20" s="87">
        <f>SUM(B17:B19)</f>
        <v>97</v>
      </c>
      <c r="C20" s="88">
        <f>SUM(C17:C19)</f>
        <v>1</v>
      </c>
      <c r="E20" s="89" t="s">
        <v>737</v>
      </c>
      <c r="F20" s="87">
        <f>SUM(F17:F19)</f>
        <v>18</v>
      </c>
      <c r="G20" s="87">
        <f>SUM(G17:G19)</f>
        <v>0</v>
      </c>
      <c r="H20" s="87">
        <f>SUM(H17:H19)</f>
        <v>18</v>
      </c>
    </row>
    <row r="21" spans="1:45" ht="15.75" thickTop="1"/>
    <row r="23" spans="1:45">
      <c r="A23" s="107" t="s">
        <v>742</v>
      </c>
      <c r="B23" s="108" t="s">
        <v>743</v>
      </c>
      <c r="C23" s="108" t="s">
        <v>744</v>
      </c>
      <c r="D23" s="108" t="s">
        <v>745</v>
      </c>
      <c r="E23" s="108" t="s">
        <v>746</v>
      </c>
      <c r="AS23"/>
    </row>
    <row r="24" spans="1:45">
      <c r="A24" s="18" t="s">
        <v>15</v>
      </c>
      <c r="B24" s="96">
        <f>COUNTIFS('API Test Cases'!B:B,Table110[[#This Row],[Module / Feature]])</f>
        <v>28</v>
      </c>
      <c r="C24" s="96">
        <f>COUNTIFS('API Test Cases'!B:B,Table110[[#This Row],[Module / Feature]],'API Test Cases'!M:M,"Pass")</f>
        <v>25</v>
      </c>
      <c r="D24" s="96">
        <f>COUNTIFS('API Test Cases'!B:B,Table110[[#This Row],[Module / Feature]],'API Test Cases'!M:M,"Fail")</f>
        <v>3</v>
      </c>
      <c r="E24" s="91">
        <f>C24/$B$32</f>
        <v>0.25773195876288657</v>
      </c>
      <c r="AS24"/>
    </row>
    <row r="25" spans="1:45">
      <c r="A25" s="18" t="s">
        <v>192</v>
      </c>
      <c r="B25" s="96">
        <f>COUNTIFS('API Test Cases'!B:B,Table110[[#This Row],[Module / Feature]])</f>
        <v>22</v>
      </c>
      <c r="C25" s="96">
        <f>COUNTIFS('API Test Cases'!B:B,Table110[[#This Row],[Module / Feature]],'API Test Cases'!M:M,"Pass")</f>
        <v>19</v>
      </c>
      <c r="D25" s="96">
        <f>COUNTIFS('API Test Cases'!B:B,Table110[[#This Row],[Module / Feature]],'API Test Cases'!M:M,"Fail")</f>
        <v>3</v>
      </c>
      <c r="E25" s="91">
        <f t="shared" ref="E25:E31" si="0">C25/$B$32</f>
        <v>0.19587628865979381</v>
      </c>
      <c r="AS25"/>
    </row>
    <row r="26" spans="1:45">
      <c r="A26" s="18" t="s">
        <v>319</v>
      </c>
      <c r="B26" s="96">
        <f>COUNTIFS('API Test Cases'!B:B,Table110[[#This Row],[Module / Feature]])</f>
        <v>8</v>
      </c>
      <c r="C26" s="96">
        <f>COUNTIFS('API Test Cases'!B:B,Table110[[#This Row],[Module / Feature]],'API Test Cases'!M:M,"Pass")</f>
        <v>7</v>
      </c>
      <c r="D26" s="96">
        <f>COUNTIFS('API Test Cases'!B:B,Table110[[#This Row],[Module / Feature]],'API Test Cases'!M:M,"Fail")</f>
        <v>1</v>
      </c>
      <c r="E26" s="91">
        <f t="shared" si="0"/>
        <v>7.2164948453608241E-2</v>
      </c>
      <c r="AS26"/>
    </row>
    <row r="27" spans="1:45">
      <c r="A27" s="18" t="s">
        <v>326</v>
      </c>
      <c r="B27" s="96">
        <f>COUNTIFS('API Test Cases'!B:B,Table110[[#This Row],[Module / Feature]])</f>
        <v>1</v>
      </c>
      <c r="C27" s="96">
        <f>COUNTIFS('API Test Cases'!B:B,Table110[[#This Row],[Module / Feature]],'API Test Cases'!M:M,"Pass")</f>
        <v>1</v>
      </c>
      <c r="D27" s="96">
        <f>COUNTIFS('API Test Cases'!B:B,Table110[[#This Row],[Module / Feature]],'API Test Cases'!M:M,"Fail")</f>
        <v>0</v>
      </c>
      <c r="E27" s="91">
        <f t="shared" si="0"/>
        <v>1.0309278350515464E-2</v>
      </c>
      <c r="AS27"/>
    </row>
    <row r="28" spans="1:45">
      <c r="A28" s="18" t="s">
        <v>332</v>
      </c>
      <c r="B28" s="96">
        <f>COUNTIFS('API Test Cases'!B:B,Table110[[#This Row],[Module / Feature]])</f>
        <v>2</v>
      </c>
      <c r="C28" s="96">
        <f>COUNTIFS('API Test Cases'!B:B,Table110[[#This Row],[Module / Feature]],'API Test Cases'!M:M,"Pass")</f>
        <v>2</v>
      </c>
      <c r="D28" s="96">
        <f>COUNTIFS('API Test Cases'!B:B,Table110[[#This Row],[Module / Feature]],'API Test Cases'!M:M,"Fail")</f>
        <v>0</v>
      </c>
      <c r="E28" s="91">
        <f t="shared" si="0"/>
        <v>2.0618556701030927E-2</v>
      </c>
      <c r="AS28"/>
    </row>
    <row r="29" spans="1:45">
      <c r="A29" s="94" t="s">
        <v>405</v>
      </c>
      <c r="B29" s="96">
        <f>COUNTIFS('API Test Cases'!B:B,Table110[[#This Row],[Module / Feature]])</f>
        <v>5</v>
      </c>
      <c r="C29" s="96">
        <f>COUNTIFS('API Test Cases'!B:B,Table110[[#This Row],[Module / Feature]],'API Test Cases'!M:M,"Pass")</f>
        <v>5</v>
      </c>
      <c r="D29" s="96">
        <f>COUNTIFS('API Test Cases'!B:B,Table110[[#This Row],[Module / Feature]],'API Test Cases'!M:M,"Fail")</f>
        <v>0</v>
      </c>
      <c r="E29" s="91">
        <f t="shared" si="0"/>
        <v>5.1546391752577317E-2</v>
      </c>
      <c r="AS29"/>
    </row>
    <row r="30" spans="1:45">
      <c r="A30" s="95" t="s">
        <v>429</v>
      </c>
      <c r="B30" s="96">
        <f>COUNTIFS('API Test Cases'!B:B,Table110[[#This Row],[Module / Feature]])</f>
        <v>12</v>
      </c>
      <c r="C30" s="96">
        <f>COUNTIFS('API Test Cases'!B:B,Table110[[#This Row],[Module / Feature]],'API Test Cases'!M:M,"Pass")</f>
        <v>3</v>
      </c>
      <c r="D30" s="96">
        <f>COUNTIFS('API Test Cases'!B:B,Table110[[#This Row],[Module / Feature]],'API Test Cases'!M:M,"Fail")</f>
        <v>9</v>
      </c>
      <c r="E30" s="91">
        <f t="shared" si="0"/>
        <v>3.0927835051546393E-2</v>
      </c>
      <c r="AS30"/>
    </row>
    <row r="31" spans="1:45">
      <c r="A31" s="95" t="s">
        <v>500</v>
      </c>
      <c r="B31" s="96">
        <f>COUNTIFS('API Test Cases'!B:B,Table110[[#This Row],[Module / Feature]])</f>
        <v>19</v>
      </c>
      <c r="C31" s="96">
        <f>COUNTIFS('API Test Cases'!B:B,Table110[[#This Row],[Module / Feature]],'API Test Cases'!M:M,"Pass")</f>
        <v>5</v>
      </c>
      <c r="D31" s="96">
        <f>COUNTIFS('API Test Cases'!B:B,Table110[[#This Row],[Module / Feature]],'API Test Cases'!M:M,"Fail")</f>
        <v>14</v>
      </c>
      <c r="E31" s="91">
        <f t="shared" si="0"/>
        <v>5.1546391752577317E-2</v>
      </c>
      <c r="AS31"/>
    </row>
    <row r="32" spans="1:45">
      <c r="A32" s="92"/>
      <c r="B32" s="90">
        <f>SUBTOTAL(109,Table110[Total Cases])</f>
        <v>97</v>
      </c>
      <c r="C32" s="90">
        <f>SUBTOTAL(109,Table110[Passed])</f>
        <v>67</v>
      </c>
      <c r="D32" s="90">
        <f>SUBTOTAL(109,Table110[Faild])</f>
        <v>30</v>
      </c>
      <c r="E32" s="91">
        <f>C32/B32</f>
        <v>0.69072164948453607</v>
      </c>
      <c r="AS32"/>
    </row>
  </sheetData>
  <conditionalFormatting sqref="A24:A31">
    <cfRule type="duplicateValues" dxfId="16" priority="5" stopIfTrue="1"/>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
  <sheetViews>
    <sheetView tabSelected="1" topLeftCell="A31" zoomScale="80" zoomScaleNormal="80" workbookViewId="0">
      <selection activeCell="A54" sqref="A54:XFD54"/>
    </sheetView>
  </sheetViews>
  <sheetFormatPr defaultColWidth="8.7109375" defaultRowHeight="15"/>
  <cols>
    <col min="1" max="1" width="12.7109375" customWidth="1"/>
    <col min="2" max="2" width="20.28515625" customWidth="1"/>
    <col min="3" max="3" width="40" customWidth="1"/>
    <col min="4" max="4" width="16.7109375" customWidth="1"/>
    <col min="5" max="5" width="22.28515625" customWidth="1"/>
    <col min="6" max="6" width="51.140625" customWidth="1"/>
    <col min="7" max="7" width="28.28515625" customWidth="1"/>
    <col min="8" max="8" width="32.42578125" customWidth="1"/>
    <col min="9" max="9" width="28" customWidth="1"/>
    <col min="10" max="10" width="72.5703125" customWidth="1"/>
    <col min="11" max="11" width="74.85546875" customWidth="1"/>
    <col min="12" max="12" width="24.85546875" customWidth="1"/>
    <col min="13" max="13" width="16.85546875" style="6" customWidth="1"/>
    <col min="14" max="14" width="16.5703125" customWidth="1"/>
  </cols>
  <sheetData>
    <row r="1" spans="1:14" ht="34.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customHeight="1">
      <c r="A2" s="18" t="s">
        <v>14</v>
      </c>
      <c r="B2" s="18" t="s">
        <v>15</v>
      </c>
      <c r="C2" s="18" t="s">
        <v>16</v>
      </c>
      <c r="D2" s="18" t="s">
        <v>17</v>
      </c>
      <c r="E2" s="18" t="s">
        <v>18</v>
      </c>
      <c r="F2" s="18" t="s">
        <v>19</v>
      </c>
      <c r="G2" s="18" t="s">
        <v>20</v>
      </c>
      <c r="H2" s="18" t="s">
        <v>21</v>
      </c>
      <c r="I2" s="18" t="s">
        <v>22</v>
      </c>
      <c r="J2" s="18" t="s">
        <v>23</v>
      </c>
      <c r="K2" s="18" t="s">
        <v>24</v>
      </c>
      <c r="L2" s="18" t="s">
        <v>25</v>
      </c>
      <c r="M2" s="5" t="s">
        <v>26</v>
      </c>
      <c r="N2" s="2"/>
    </row>
    <row r="3" spans="1:14" ht="60" customHeight="1">
      <c r="A3" s="18" t="s">
        <v>27</v>
      </c>
      <c r="B3" s="18" t="s">
        <v>15</v>
      </c>
      <c r="C3" s="18" t="s">
        <v>28</v>
      </c>
      <c r="D3" s="18" t="s">
        <v>17</v>
      </c>
      <c r="E3" s="18" t="s">
        <v>18</v>
      </c>
      <c r="F3" s="18" t="s">
        <v>29</v>
      </c>
      <c r="G3" s="18" t="s">
        <v>20</v>
      </c>
      <c r="H3" s="18" t="s">
        <v>30</v>
      </c>
      <c r="I3" s="18" t="s">
        <v>31</v>
      </c>
      <c r="J3" s="18" t="s">
        <v>32</v>
      </c>
      <c r="K3" s="18" t="s">
        <v>33</v>
      </c>
      <c r="L3" s="18" t="s">
        <v>25</v>
      </c>
      <c r="M3" s="5" t="s">
        <v>26</v>
      </c>
      <c r="N3" s="2"/>
    </row>
    <row r="4" spans="1:14" ht="60" customHeight="1">
      <c r="A4" s="18" t="s">
        <v>34</v>
      </c>
      <c r="B4" s="18" t="s">
        <v>15</v>
      </c>
      <c r="C4" s="18" t="s">
        <v>35</v>
      </c>
      <c r="D4" s="18" t="s">
        <v>17</v>
      </c>
      <c r="E4" s="18" t="s">
        <v>18</v>
      </c>
      <c r="F4" s="18" t="s">
        <v>36</v>
      </c>
      <c r="G4" s="18" t="s">
        <v>20</v>
      </c>
      <c r="H4" s="18" t="s">
        <v>37</v>
      </c>
      <c r="I4" s="18" t="s">
        <v>38</v>
      </c>
      <c r="J4" s="18" t="s">
        <v>39</v>
      </c>
      <c r="K4" s="18" t="s">
        <v>40</v>
      </c>
      <c r="L4" s="18" t="s">
        <v>25</v>
      </c>
      <c r="M4" s="4" t="s">
        <v>26</v>
      </c>
      <c r="N4" s="2"/>
    </row>
    <row r="5" spans="1:14" ht="60" customHeight="1">
      <c r="A5" s="18" t="s">
        <v>41</v>
      </c>
      <c r="B5" s="18" t="s">
        <v>15</v>
      </c>
      <c r="C5" s="18" t="s">
        <v>42</v>
      </c>
      <c r="D5" s="18" t="s">
        <v>17</v>
      </c>
      <c r="E5" s="18" t="s">
        <v>18</v>
      </c>
      <c r="F5" s="18" t="s">
        <v>43</v>
      </c>
      <c r="G5" s="18" t="s">
        <v>20</v>
      </c>
      <c r="H5" s="18" t="s">
        <v>44</v>
      </c>
      <c r="I5" s="18" t="s">
        <v>45</v>
      </c>
      <c r="J5" s="18" t="s">
        <v>46</v>
      </c>
      <c r="K5" s="18" t="s">
        <v>47</v>
      </c>
      <c r="L5" s="18" t="s">
        <v>25</v>
      </c>
      <c r="M5" s="4" t="s">
        <v>26</v>
      </c>
      <c r="N5" s="2"/>
    </row>
    <row r="6" spans="1:14" ht="60" customHeight="1">
      <c r="A6" s="18" t="s">
        <v>48</v>
      </c>
      <c r="B6" s="18" t="s">
        <v>15</v>
      </c>
      <c r="C6" s="18" t="s">
        <v>49</v>
      </c>
      <c r="D6" s="18" t="s">
        <v>17</v>
      </c>
      <c r="E6" s="18" t="s">
        <v>18</v>
      </c>
      <c r="F6" s="18" t="s">
        <v>50</v>
      </c>
      <c r="G6" s="18" t="s">
        <v>20</v>
      </c>
      <c r="H6" s="18" t="s">
        <v>51</v>
      </c>
      <c r="I6" s="18" t="s">
        <v>52</v>
      </c>
      <c r="J6" s="18" t="s">
        <v>53</v>
      </c>
      <c r="K6" s="18" t="s">
        <v>54</v>
      </c>
      <c r="L6" s="18" t="s">
        <v>25</v>
      </c>
      <c r="M6" s="4" t="s">
        <v>26</v>
      </c>
      <c r="N6" s="2"/>
    </row>
    <row r="7" spans="1:14" ht="60" customHeight="1">
      <c r="A7" s="18" t="s">
        <v>55</v>
      </c>
      <c r="B7" s="18" t="s">
        <v>15</v>
      </c>
      <c r="C7" s="18" t="s">
        <v>56</v>
      </c>
      <c r="D7" s="18" t="s">
        <v>17</v>
      </c>
      <c r="E7" s="18" t="s">
        <v>18</v>
      </c>
      <c r="F7" s="18" t="s">
        <v>57</v>
      </c>
      <c r="G7" s="18" t="s">
        <v>20</v>
      </c>
      <c r="H7" s="18" t="s">
        <v>58</v>
      </c>
      <c r="I7" s="18" t="s">
        <v>59</v>
      </c>
      <c r="J7" s="18" t="s">
        <v>60</v>
      </c>
      <c r="K7" s="18" t="s">
        <v>61</v>
      </c>
      <c r="L7" s="18" t="s">
        <v>25</v>
      </c>
      <c r="M7" s="4" t="s">
        <v>26</v>
      </c>
      <c r="N7" s="2"/>
    </row>
    <row r="8" spans="1:14" ht="60" customHeight="1">
      <c r="A8" s="18" t="s">
        <v>62</v>
      </c>
      <c r="B8" s="18" t="s">
        <v>15</v>
      </c>
      <c r="C8" s="18" t="s">
        <v>63</v>
      </c>
      <c r="D8" s="18" t="s">
        <v>17</v>
      </c>
      <c r="E8" s="18" t="s">
        <v>18</v>
      </c>
      <c r="F8" s="18" t="s">
        <v>64</v>
      </c>
      <c r="G8" s="18" t="s">
        <v>20</v>
      </c>
      <c r="H8" s="18" t="s">
        <v>65</v>
      </c>
      <c r="I8" s="18" t="s">
        <v>66</v>
      </c>
      <c r="J8" s="18" t="s">
        <v>67</v>
      </c>
      <c r="K8" s="18" t="s">
        <v>68</v>
      </c>
      <c r="L8" s="18" t="s">
        <v>25</v>
      </c>
      <c r="M8" s="4" t="s">
        <v>26</v>
      </c>
      <c r="N8" s="2"/>
    </row>
    <row r="9" spans="1:14" ht="60" customHeight="1">
      <c r="A9" s="18" t="s">
        <v>69</v>
      </c>
      <c r="B9" s="18" t="s">
        <v>15</v>
      </c>
      <c r="C9" s="18" t="s">
        <v>70</v>
      </c>
      <c r="D9" s="18" t="s">
        <v>17</v>
      </c>
      <c r="E9" s="18" t="s">
        <v>18</v>
      </c>
      <c r="F9" s="18" t="s">
        <v>71</v>
      </c>
      <c r="G9" s="18" t="s">
        <v>20</v>
      </c>
      <c r="H9" s="18" t="s">
        <v>72</v>
      </c>
      <c r="I9" s="18" t="s">
        <v>73</v>
      </c>
      <c r="J9" s="18" t="s">
        <v>74</v>
      </c>
      <c r="K9" s="18" t="s">
        <v>75</v>
      </c>
      <c r="L9" s="18" t="s">
        <v>25</v>
      </c>
      <c r="M9" s="4" t="s">
        <v>26</v>
      </c>
      <c r="N9" s="2"/>
    </row>
    <row r="10" spans="1:14" s="8" customFormat="1" ht="47.25" customHeight="1">
      <c r="A10" s="18" t="s">
        <v>76</v>
      </c>
      <c r="B10" s="19" t="s">
        <v>15</v>
      </c>
      <c r="C10" s="19" t="s">
        <v>77</v>
      </c>
      <c r="D10" s="19" t="s">
        <v>78</v>
      </c>
      <c r="E10" s="19" t="s">
        <v>18</v>
      </c>
      <c r="F10" s="20" t="s">
        <v>79</v>
      </c>
      <c r="G10" s="19" t="s">
        <v>20</v>
      </c>
      <c r="H10" s="19" t="s">
        <v>80</v>
      </c>
      <c r="I10" s="19" t="s">
        <v>73</v>
      </c>
      <c r="J10" s="19" t="s">
        <v>81</v>
      </c>
      <c r="K10" s="19" t="s">
        <v>82</v>
      </c>
      <c r="L10" s="19" t="s">
        <v>83</v>
      </c>
      <c r="M10" s="7" t="s">
        <v>84</v>
      </c>
      <c r="N10" s="7" t="s">
        <v>85</v>
      </c>
    </row>
    <row r="11" spans="1:14" ht="60" customHeight="1">
      <c r="A11" s="18" t="s">
        <v>86</v>
      </c>
      <c r="B11" s="18" t="s">
        <v>15</v>
      </c>
      <c r="C11" s="18" t="s">
        <v>87</v>
      </c>
      <c r="D11" s="18" t="s">
        <v>78</v>
      </c>
      <c r="E11" s="18" t="s">
        <v>18</v>
      </c>
      <c r="F11" s="18" t="s">
        <v>88</v>
      </c>
      <c r="G11" s="18" t="s">
        <v>20</v>
      </c>
      <c r="H11" s="18" t="s">
        <v>89</v>
      </c>
      <c r="I11" s="18" t="s">
        <v>90</v>
      </c>
      <c r="J11" s="18" t="s">
        <v>91</v>
      </c>
      <c r="K11" s="18" t="s">
        <v>92</v>
      </c>
      <c r="L11" s="18" t="s">
        <v>25</v>
      </c>
      <c r="M11" s="4" t="s">
        <v>26</v>
      </c>
      <c r="N11" s="2"/>
    </row>
    <row r="12" spans="1:14" ht="60" customHeight="1">
      <c r="A12" s="18" t="s">
        <v>93</v>
      </c>
      <c r="B12" s="18" t="s">
        <v>15</v>
      </c>
      <c r="C12" s="18" t="s">
        <v>94</v>
      </c>
      <c r="D12" s="18" t="s">
        <v>78</v>
      </c>
      <c r="E12" s="18" t="s">
        <v>18</v>
      </c>
      <c r="F12" s="21" t="s">
        <v>95</v>
      </c>
      <c r="G12" s="18" t="s">
        <v>20</v>
      </c>
      <c r="H12" s="18" t="s">
        <v>96</v>
      </c>
      <c r="I12" s="18" t="s">
        <v>90</v>
      </c>
      <c r="J12" s="18" t="s">
        <v>97</v>
      </c>
      <c r="K12" s="18" t="s">
        <v>98</v>
      </c>
      <c r="L12" s="18" t="s">
        <v>25</v>
      </c>
      <c r="M12" s="4" t="s">
        <v>26</v>
      </c>
      <c r="N12" s="2"/>
    </row>
    <row r="13" spans="1:14" ht="60" customHeight="1">
      <c r="A13" s="18" t="s">
        <v>99</v>
      </c>
      <c r="B13" s="18" t="s">
        <v>15</v>
      </c>
      <c r="C13" s="18" t="s">
        <v>100</v>
      </c>
      <c r="D13" s="18" t="s">
        <v>78</v>
      </c>
      <c r="E13" s="18" t="s">
        <v>18</v>
      </c>
      <c r="F13" s="18" t="s">
        <v>101</v>
      </c>
      <c r="G13" s="18" t="s">
        <v>20</v>
      </c>
      <c r="H13" s="18" t="s">
        <v>102</v>
      </c>
      <c r="I13" s="18" t="s">
        <v>90</v>
      </c>
      <c r="J13" s="18" t="s">
        <v>103</v>
      </c>
      <c r="K13" s="18" t="s">
        <v>104</v>
      </c>
      <c r="L13" s="18" t="s">
        <v>25</v>
      </c>
      <c r="M13" s="4" t="s">
        <v>26</v>
      </c>
      <c r="N13" s="2"/>
    </row>
    <row r="14" spans="1:14" ht="60" customHeight="1">
      <c r="A14" s="18" t="s">
        <v>105</v>
      </c>
      <c r="B14" s="18" t="s">
        <v>15</v>
      </c>
      <c r="C14" s="18" t="s">
        <v>106</v>
      </c>
      <c r="D14" s="18" t="s">
        <v>78</v>
      </c>
      <c r="E14" s="18" t="s">
        <v>18</v>
      </c>
      <c r="F14" s="18" t="s">
        <v>107</v>
      </c>
      <c r="G14" s="18" t="s">
        <v>20</v>
      </c>
      <c r="H14" s="18" t="s">
        <v>108</v>
      </c>
      <c r="I14" s="18" t="s">
        <v>90</v>
      </c>
      <c r="J14" s="18" t="s">
        <v>109</v>
      </c>
      <c r="K14" s="18" t="s">
        <v>110</v>
      </c>
      <c r="L14" s="18" t="s">
        <v>25</v>
      </c>
      <c r="M14" s="4" t="s">
        <v>26</v>
      </c>
      <c r="N14" s="2"/>
    </row>
    <row r="15" spans="1:14" ht="60" customHeight="1">
      <c r="A15" s="18" t="s">
        <v>111</v>
      </c>
      <c r="B15" s="18" t="s">
        <v>15</v>
      </c>
      <c r="C15" s="18" t="s">
        <v>112</v>
      </c>
      <c r="D15" s="18" t="s">
        <v>78</v>
      </c>
      <c r="E15" s="18" t="s">
        <v>113</v>
      </c>
      <c r="F15" s="18" t="s">
        <v>29</v>
      </c>
      <c r="G15" s="18" t="s">
        <v>20</v>
      </c>
      <c r="H15" s="18" t="s">
        <v>114</v>
      </c>
      <c r="I15" s="18" t="s">
        <v>115</v>
      </c>
      <c r="J15" s="18" t="s">
        <v>116</v>
      </c>
      <c r="K15" s="18" t="s">
        <v>117</v>
      </c>
      <c r="L15" s="18" t="s">
        <v>25</v>
      </c>
      <c r="M15" s="4" t="s">
        <v>26</v>
      </c>
      <c r="N15" s="2"/>
    </row>
    <row r="16" spans="1:14" ht="60" customHeight="1">
      <c r="A16" s="18" t="s">
        <v>118</v>
      </c>
      <c r="B16" s="18" t="s">
        <v>15</v>
      </c>
      <c r="C16" s="18" t="s">
        <v>119</v>
      </c>
      <c r="D16" s="18" t="s">
        <v>120</v>
      </c>
      <c r="E16" s="18" t="s">
        <v>18</v>
      </c>
      <c r="F16" s="18" t="s">
        <v>121</v>
      </c>
      <c r="G16" s="18" t="s">
        <v>20</v>
      </c>
      <c r="H16" s="18" t="s">
        <v>122</v>
      </c>
      <c r="I16" s="18" t="s">
        <v>90</v>
      </c>
      <c r="J16" s="18" t="s">
        <v>123</v>
      </c>
      <c r="K16" s="18" t="s">
        <v>124</v>
      </c>
      <c r="L16" s="18" t="s">
        <v>25</v>
      </c>
      <c r="M16" s="4" t="s">
        <v>26</v>
      </c>
      <c r="N16" s="2"/>
    </row>
    <row r="17" spans="1:14" ht="60" customHeight="1">
      <c r="A17" s="18" t="s">
        <v>125</v>
      </c>
      <c r="B17" s="18" t="s">
        <v>15</v>
      </c>
      <c r="C17" s="18" t="s">
        <v>126</v>
      </c>
      <c r="D17" s="18" t="s">
        <v>120</v>
      </c>
      <c r="E17" s="18" t="s">
        <v>18</v>
      </c>
      <c r="F17" s="18" t="s">
        <v>127</v>
      </c>
      <c r="G17" s="18" t="s">
        <v>20</v>
      </c>
      <c r="H17" s="18" t="s">
        <v>128</v>
      </c>
      <c r="I17" s="18" t="s">
        <v>90</v>
      </c>
      <c r="J17" s="18" t="s">
        <v>129</v>
      </c>
      <c r="K17" s="18" t="s">
        <v>130</v>
      </c>
      <c r="L17" s="18" t="s">
        <v>25</v>
      </c>
      <c r="M17" s="4" t="s">
        <v>26</v>
      </c>
      <c r="N17" s="2"/>
    </row>
    <row r="18" spans="1:14" s="113" customFormat="1" ht="60" customHeight="1">
      <c r="A18" s="114" t="s">
        <v>131</v>
      </c>
      <c r="B18" s="114" t="s">
        <v>15</v>
      </c>
      <c r="C18" s="114" t="s">
        <v>132</v>
      </c>
      <c r="D18" s="114" t="s">
        <v>120</v>
      </c>
      <c r="E18" s="114" t="s">
        <v>18</v>
      </c>
      <c r="F18" s="114" t="s">
        <v>133</v>
      </c>
      <c r="G18" s="114" t="s">
        <v>20</v>
      </c>
      <c r="H18" s="114" t="s">
        <v>134</v>
      </c>
      <c r="I18" s="114" t="s">
        <v>90</v>
      </c>
      <c r="J18" s="114" t="s">
        <v>135</v>
      </c>
      <c r="K18" s="114" t="s">
        <v>136</v>
      </c>
      <c r="L18" s="114" t="s">
        <v>25</v>
      </c>
      <c r="M18" s="115" t="s">
        <v>26</v>
      </c>
      <c r="N18" s="116"/>
    </row>
    <row r="19" spans="1:14" ht="78" customHeight="1">
      <c r="A19" s="18" t="s">
        <v>137</v>
      </c>
      <c r="B19" s="18" t="s">
        <v>15</v>
      </c>
      <c r="C19" s="18" t="s">
        <v>138</v>
      </c>
      <c r="D19" s="18" t="s">
        <v>120</v>
      </c>
      <c r="E19" s="18" t="s">
        <v>18</v>
      </c>
      <c r="F19" s="18" t="s">
        <v>139</v>
      </c>
      <c r="G19" s="18" t="s">
        <v>20</v>
      </c>
      <c r="H19" s="18" t="s">
        <v>140</v>
      </c>
      <c r="I19" s="18" t="s">
        <v>90</v>
      </c>
      <c r="J19" s="18" t="s">
        <v>141</v>
      </c>
      <c r="K19" s="18" t="s">
        <v>82</v>
      </c>
      <c r="L19" s="18" t="s">
        <v>142</v>
      </c>
      <c r="M19" s="12" t="s">
        <v>84</v>
      </c>
      <c r="N19" s="7" t="s">
        <v>143</v>
      </c>
    </row>
    <row r="20" spans="1:14" ht="60" customHeight="1">
      <c r="A20" s="18" t="s">
        <v>144</v>
      </c>
      <c r="B20" s="18" t="s">
        <v>15</v>
      </c>
      <c r="C20" s="18" t="s">
        <v>145</v>
      </c>
      <c r="D20" s="18" t="s">
        <v>146</v>
      </c>
      <c r="E20" s="18" t="s">
        <v>18</v>
      </c>
      <c r="F20" s="18" t="s">
        <v>29</v>
      </c>
      <c r="G20" s="18" t="s">
        <v>20</v>
      </c>
      <c r="H20" s="18" t="s">
        <v>114</v>
      </c>
      <c r="I20" s="18" t="s">
        <v>147</v>
      </c>
      <c r="J20" s="18" t="s">
        <v>148</v>
      </c>
      <c r="K20" s="18" t="s">
        <v>149</v>
      </c>
      <c r="L20" s="18" t="s">
        <v>25</v>
      </c>
      <c r="M20" s="10" t="s">
        <v>26</v>
      </c>
      <c r="N20" s="9"/>
    </row>
    <row r="21" spans="1:14" ht="60" customHeight="1">
      <c r="A21" s="18" t="s">
        <v>150</v>
      </c>
      <c r="B21" s="18" t="s">
        <v>15</v>
      </c>
      <c r="C21" s="18" t="s">
        <v>151</v>
      </c>
      <c r="D21" s="18" t="s">
        <v>146</v>
      </c>
      <c r="E21" s="18" t="s">
        <v>18</v>
      </c>
      <c r="F21" s="18" t="s">
        <v>19</v>
      </c>
      <c r="G21" s="18" t="s">
        <v>20</v>
      </c>
      <c r="H21" s="18" t="s">
        <v>21</v>
      </c>
      <c r="I21" s="18" t="s">
        <v>152</v>
      </c>
      <c r="J21" s="18" t="s">
        <v>153</v>
      </c>
      <c r="K21" s="18" t="s">
        <v>154</v>
      </c>
      <c r="L21" s="18" t="s">
        <v>25</v>
      </c>
      <c r="M21" s="10" t="s">
        <v>26</v>
      </c>
      <c r="N21" s="9"/>
    </row>
    <row r="22" spans="1:14" s="11" customFormat="1" ht="60" customHeight="1">
      <c r="A22" s="18" t="s">
        <v>155</v>
      </c>
      <c r="B22" s="22" t="s">
        <v>15</v>
      </c>
      <c r="C22" s="22" t="s">
        <v>156</v>
      </c>
      <c r="D22" s="22" t="s">
        <v>146</v>
      </c>
      <c r="E22" s="22" t="s">
        <v>18</v>
      </c>
      <c r="F22" s="22" t="s">
        <v>29</v>
      </c>
      <c r="G22" s="22" t="s">
        <v>20</v>
      </c>
      <c r="H22" s="22" t="s">
        <v>114</v>
      </c>
      <c r="I22" s="22" t="s">
        <v>115</v>
      </c>
      <c r="J22" s="22" t="s">
        <v>157</v>
      </c>
      <c r="K22" s="22" t="s">
        <v>158</v>
      </c>
      <c r="L22" s="22" t="s">
        <v>25</v>
      </c>
      <c r="M22" s="10" t="s">
        <v>26</v>
      </c>
      <c r="N22" s="13"/>
    </row>
    <row r="23" spans="1:14" ht="60" customHeight="1">
      <c r="A23" s="18" t="s">
        <v>159</v>
      </c>
      <c r="B23" s="22" t="s">
        <v>15</v>
      </c>
      <c r="C23" s="22" t="s">
        <v>160</v>
      </c>
      <c r="D23" s="22" t="s">
        <v>161</v>
      </c>
      <c r="E23" s="22" t="s">
        <v>18</v>
      </c>
      <c r="F23" s="22" t="s">
        <v>29</v>
      </c>
      <c r="G23" s="22" t="s">
        <v>20</v>
      </c>
      <c r="H23" s="22" t="s">
        <v>114</v>
      </c>
      <c r="I23" s="22" t="s">
        <v>115</v>
      </c>
      <c r="J23" s="22" t="s">
        <v>162</v>
      </c>
      <c r="K23" s="22" t="s">
        <v>163</v>
      </c>
      <c r="L23" s="22" t="s">
        <v>25</v>
      </c>
      <c r="M23" s="10" t="s">
        <v>26</v>
      </c>
      <c r="N23" s="3"/>
    </row>
    <row r="24" spans="1:14" ht="60" customHeight="1">
      <c r="A24" s="18" t="s">
        <v>164</v>
      </c>
      <c r="B24" s="22" t="s">
        <v>15</v>
      </c>
      <c r="C24" s="22" t="s">
        <v>165</v>
      </c>
      <c r="D24" s="22" t="s">
        <v>161</v>
      </c>
      <c r="E24" s="22" t="s">
        <v>18</v>
      </c>
      <c r="F24" s="22" t="s">
        <v>88</v>
      </c>
      <c r="G24" s="22" t="s">
        <v>20</v>
      </c>
      <c r="H24" s="22" t="s">
        <v>89</v>
      </c>
      <c r="I24" s="22" t="s">
        <v>90</v>
      </c>
      <c r="J24" s="22" t="s">
        <v>166</v>
      </c>
      <c r="K24" s="22" t="s">
        <v>167</v>
      </c>
      <c r="L24" s="22" t="s">
        <v>25</v>
      </c>
      <c r="M24" s="10" t="s">
        <v>26</v>
      </c>
      <c r="N24" s="3"/>
    </row>
    <row r="25" spans="1:14" ht="60" customHeight="1">
      <c r="A25" s="18" t="s">
        <v>168</v>
      </c>
      <c r="B25" s="22" t="s">
        <v>15</v>
      </c>
      <c r="C25" s="22" t="s">
        <v>169</v>
      </c>
      <c r="D25" s="22" t="s">
        <v>161</v>
      </c>
      <c r="E25" s="22" t="s">
        <v>18</v>
      </c>
      <c r="F25" s="22" t="s">
        <v>170</v>
      </c>
      <c r="G25" s="22" t="s">
        <v>20</v>
      </c>
      <c r="H25" s="22" t="s">
        <v>171</v>
      </c>
      <c r="I25" s="22" t="s">
        <v>90</v>
      </c>
      <c r="J25" s="22" t="s">
        <v>172</v>
      </c>
      <c r="K25" s="22" t="s">
        <v>173</v>
      </c>
      <c r="L25" s="22" t="s">
        <v>25</v>
      </c>
      <c r="M25" s="10" t="s">
        <v>26</v>
      </c>
      <c r="N25" s="3"/>
    </row>
    <row r="26" spans="1:14" ht="60" customHeight="1">
      <c r="A26" s="18" t="s">
        <v>174</v>
      </c>
      <c r="B26" s="22" t="s">
        <v>15</v>
      </c>
      <c r="C26" s="22" t="s">
        <v>175</v>
      </c>
      <c r="D26" s="22" t="s">
        <v>176</v>
      </c>
      <c r="E26" s="22" t="s">
        <v>18</v>
      </c>
      <c r="F26" s="22" t="s">
        <v>29</v>
      </c>
      <c r="G26" s="22" t="s">
        <v>20</v>
      </c>
      <c r="H26" s="22" t="s">
        <v>177</v>
      </c>
      <c r="I26" s="22" t="s">
        <v>178</v>
      </c>
      <c r="J26" s="22" t="s">
        <v>179</v>
      </c>
      <c r="K26" s="22" t="s">
        <v>180</v>
      </c>
      <c r="L26" s="22" t="s">
        <v>25</v>
      </c>
      <c r="M26" s="10" t="s">
        <v>26</v>
      </c>
      <c r="N26" s="3"/>
    </row>
    <row r="27" spans="1:14" ht="60" customHeight="1">
      <c r="A27" s="18" t="s">
        <v>181</v>
      </c>
      <c r="B27" s="22" t="s">
        <v>15</v>
      </c>
      <c r="C27" s="22" t="s">
        <v>182</v>
      </c>
      <c r="D27" s="22" t="s">
        <v>176</v>
      </c>
      <c r="E27" s="22" t="s">
        <v>18</v>
      </c>
      <c r="F27" s="22" t="s">
        <v>29</v>
      </c>
      <c r="G27" s="22" t="s">
        <v>20</v>
      </c>
      <c r="H27" s="22" t="s">
        <v>114</v>
      </c>
      <c r="I27" s="22" t="s">
        <v>115</v>
      </c>
      <c r="J27" s="22" t="s">
        <v>183</v>
      </c>
      <c r="K27" s="22" t="s">
        <v>184</v>
      </c>
      <c r="L27" s="22"/>
      <c r="M27" s="10" t="s">
        <v>26</v>
      </c>
      <c r="N27" s="13"/>
    </row>
    <row r="28" spans="1:14" ht="60" customHeight="1">
      <c r="A28" s="18" t="s">
        <v>185</v>
      </c>
      <c r="B28" s="22" t="s">
        <v>15</v>
      </c>
      <c r="C28" s="22" t="s">
        <v>186</v>
      </c>
      <c r="D28" s="22" t="s">
        <v>187</v>
      </c>
      <c r="E28" s="22" t="s">
        <v>18</v>
      </c>
      <c r="F28" s="22" t="s">
        <v>29</v>
      </c>
      <c r="G28" s="22" t="s">
        <v>20</v>
      </c>
      <c r="H28" s="22" t="s">
        <v>114</v>
      </c>
      <c r="I28" s="22" t="s">
        <v>115</v>
      </c>
      <c r="J28" s="22" t="s">
        <v>188</v>
      </c>
      <c r="K28" s="22" t="s">
        <v>189</v>
      </c>
      <c r="L28" s="22"/>
      <c r="M28" s="16" t="s">
        <v>190</v>
      </c>
      <c r="N28" s="15"/>
    </row>
    <row r="29" spans="1:14" ht="102" customHeight="1">
      <c r="A29" s="18" t="s">
        <v>191</v>
      </c>
      <c r="B29" s="22" t="s">
        <v>192</v>
      </c>
      <c r="C29" s="22" t="s">
        <v>193</v>
      </c>
      <c r="D29" s="22" t="s">
        <v>17</v>
      </c>
      <c r="E29" s="22" t="s">
        <v>194</v>
      </c>
      <c r="F29" s="22" t="s">
        <v>29</v>
      </c>
      <c r="G29" s="22" t="s">
        <v>195</v>
      </c>
      <c r="H29" s="22" t="s">
        <v>196</v>
      </c>
      <c r="I29" s="22" t="s">
        <v>197</v>
      </c>
      <c r="J29" s="22" t="s">
        <v>198</v>
      </c>
      <c r="K29" s="22" t="s">
        <v>199</v>
      </c>
      <c r="L29" s="22" t="s">
        <v>25</v>
      </c>
      <c r="M29" s="14" t="s">
        <v>26</v>
      </c>
      <c r="N29" s="13"/>
    </row>
    <row r="30" spans="1:14" ht="60" customHeight="1">
      <c r="A30" s="18" t="s">
        <v>200</v>
      </c>
      <c r="B30" s="22" t="s">
        <v>192</v>
      </c>
      <c r="C30" s="22" t="s">
        <v>201</v>
      </c>
      <c r="D30" s="22" t="s">
        <v>17</v>
      </c>
      <c r="E30" s="22" t="s">
        <v>202</v>
      </c>
      <c r="F30" s="22" t="s">
        <v>29</v>
      </c>
      <c r="G30" s="22" t="s">
        <v>195</v>
      </c>
      <c r="H30" s="23" t="s">
        <v>203</v>
      </c>
      <c r="I30" s="22" t="s">
        <v>204</v>
      </c>
      <c r="J30" s="22" t="s">
        <v>205</v>
      </c>
      <c r="K30" s="22" t="s">
        <v>206</v>
      </c>
      <c r="L30" s="22" t="s">
        <v>25</v>
      </c>
      <c r="M30" s="31" t="s">
        <v>190</v>
      </c>
      <c r="N30" s="3"/>
    </row>
    <row r="31" spans="1:14" ht="60" customHeight="1">
      <c r="A31" s="18" t="s">
        <v>207</v>
      </c>
      <c r="B31" s="22" t="s">
        <v>192</v>
      </c>
      <c r="C31" s="22" t="s">
        <v>208</v>
      </c>
      <c r="D31" s="22" t="s">
        <v>17</v>
      </c>
      <c r="E31" s="22" t="s">
        <v>202</v>
      </c>
      <c r="F31" s="22" t="s">
        <v>29</v>
      </c>
      <c r="G31" s="22" t="s">
        <v>209</v>
      </c>
      <c r="H31" s="22" t="s">
        <v>210</v>
      </c>
      <c r="I31" s="22" t="s">
        <v>204</v>
      </c>
      <c r="J31" s="22" t="s">
        <v>211</v>
      </c>
      <c r="K31" s="22" t="s">
        <v>212</v>
      </c>
      <c r="L31" s="22" t="s">
        <v>25</v>
      </c>
      <c r="M31" s="14" t="s">
        <v>190</v>
      </c>
      <c r="N31" s="3"/>
    </row>
    <row r="32" spans="1:14" ht="96" customHeight="1">
      <c r="A32" s="18" t="s">
        <v>213</v>
      </c>
      <c r="B32" s="22" t="s">
        <v>192</v>
      </c>
      <c r="C32" s="22" t="s">
        <v>214</v>
      </c>
      <c r="D32" s="22" t="s">
        <v>17</v>
      </c>
      <c r="E32" s="22" t="s">
        <v>194</v>
      </c>
      <c r="F32" s="22" t="s">
        <v>29</v>
      </c>
      <c r="G32" s="22" t="s">
        <v>215</v>
      </c>
      <c r="H32" s="22" t="s">
        <v>216</v>
      </c>
      <c r="I32" s="22" t="s">
        <v>115</v>
      </c>
      <c r="J32" s="22" t="s">
        <v>217</v>
      </c>
      <c r="K32" s="22" t="s">
        <v>218</v>
      </c>
      <c r="L32" s="22" t="s">
        <v>25</v>
      </c>
      <c r="M32" s="31" t="s">
        <v>26</v>
      </c>
      <c r="N32" s="3"/>
    </row>
    <row r="33" spans="1:14" ht="100.5" customHeight="1">
      <c r="A33" s="18" t="s">
        <v>219</v>
      </c>
      <c r="B33" s="22" t="s">
        <v>192</v>
      </c>
      <c r="C33" s="22" t="s">
        <v>220</v>
      </c>
      <c r="D33" s="22" t="s">
        <v>78</v>
      </c>
      <c r="E33" s="22" t="s">
        <v>194</v>
      </c>
      <c r="F33" s="22" t="s">
        <v>29</v>
      </c>
      <c r="G33" s="22" t="s">
        <v>221</v>
      </c>
      <c r="H33" s="24" t="s">
        <v>222</v>
      </c>
      <c r="I33" s="22" t="s">
        <v>115</v>
      </c>
      <c r="J33" s="22" t="s">
        <v>223</v>
      </c>
      <c r="K33" s="22" t="s">
        <v>224</v>
      </c>
      <c r="L33" s="22" t="s">
        <v>25</v>
      </c>
      <c r="M33" s="31" t="s">
        <v>190</v>
      </c>
      <c r="N33" s="3"/>
    </row>
    <row r="34" spans="1:14" ht="60" customHeight="1">
      <c r="A34" s="18" t="s">
        <v>225</v>
      </c>
      <c r="B34" s="22" t="s">
        <v>192</v>
      </c>
      <c r="C34" s="22" t="s">
        <v>226</v>
      </c>
      <c r="D34" s="22" t="s">
        <v>78</v>
      </c>
      <c r="E34" s="22" t="s">
        <v>194</v>
      </c>
      <c r="F34" s="22" t="s">
        <v>29</v>
      </c>
      <c r="G34" s="22" t="s">
        <v>227</v>
      </c>
      <c r="H34" s="22" t="s">
        <v>228</v>
      </c>
      <c r="I34" s="22" t="s">
        <v>115</v>
      </c>
      <c r="J34" s="22" t="s">
        <v>229</v>
      </c>
      <c r="K34" s="22" t="s">
        <v>230</v>
      </c>
      <c r="L34" s="22" t="s">
        <v>25</v>
      </c>
      <c r="M34" s="31" t="s">
        <v>231</v>
      </c>
      <c r="N34" s="3"/>
    </row>
    <row r="35" spans="1:14" ht="60" customHeight="1">
      <c r="A35" s="18" t="s">
        <v>232</v>
      </c>
      <c r="B35" s="22" t="s">
        <v>192</v>
      </c>
      <c r="C35" s="22" t="s">
        <v>233</v>
      </c>
      <c r="D35" s="22" t="s">
        <v>78</v>
      </c>
      <c r="E35" s="22" t="s">
        <v>194</v>
      </c>
      <c r="F35" s="22" t="s">
        <v>88</v>
      </c>
      <c r="G35" s="22" t="s">
        <v>234</v>
      </c>
      <c r="H35" s="22" t="s">
        <v>235</v>
      </c>
      <c r="I35" s="22" t="s">
        <v>236</v>
      </c>
      <c r="J35" s="22" t="s">
        <v>237</v>
      </c>
      <c r="K35" s="22" t="s">
        <v>238</v>
      </c>
      <c r="L35" s="22" t="s">
        <v>25</v>
      </c>
      <c r="M35" s="31" t="s">
        <v>26</v>
      </c>
      <c r="N35" s="3"/>
    </row>
    <row r="36" spans="1:14" ht="60" customHeight="1">
      <c r="A36" s="18" t="s">
        <v>239</v>
      </c>
      <c r="B36" s="22" t="s">
        <v>192</v>
      </c>
      <c r="C36" s="22" t="s">
        <v>240</v>
      </c>
      <c r="D36" s="22" t="s">
        <v>78</v>
      </c>
      <c r="E36" s="22" t="s">
        <v>194</v>
      </c>
      <c r="F36" s="22" t="s">
        <v>29</v>
      </c>
      <c r="G36" s="22" t="s">
        <v>234</v>
      </c>
      <c r="H36" s="22" t="s">
        <v>241</v>
      </c>
      <c r="I36" s="22" t="s">
        <v>204</v>
      </c>
      <c r="J36" s="22" t="s">
        <v>242</v>
      </c>
      <c r="K36" s="22" t="s">
        <v>243</v>
      </c>
      <c r="L36" s="22" t="s">
        <v>25</v>
      </c>
      <c r="M36" s="31" t="s">
        <v>26</v>
      </c>
      <c r="N36" s="3"/>
    </row>
    <row r="37" spans="1:14" ht="60" customHeight="1">
      <c r="A37" s="18" t="s">
        <v>244</v>
      </c>
      <c r="B37" s="22" t="s">
        <v>192</v>
      </c>
      <c r="C37" s="22" t="s">
        <v>245</v>
      </c>
      <c r="D37" s="22" t="s">
        <v>78</v>
      </c>
      <c r="E37" s="22" t="s">
        <v>194</v>
      </c>
      <c r="F37" s="22" t="s">
        <v>29</v>
      </c>
      <c r="G37" s="22" t="s">
        <v>234</v>
      </c>
      <c r="H37" s="22" t="s">
        <v>246</v>
      </c>
      <c r="I37" s="22" t="s">
        <v>204</v>
      </c>
      <c r="J37" s="22" t="s">
        <v>247</v>
      </c>
      <c r="K37" s="22" t="s">
        <v>248</v>
      </c>
      <c r="L37" s="22" t="s">
        <v>25</v>
      </c>
      <c r="M37" s="16" t="s">
        <v>26</v>
      </c>
      <c r="N37" s="3"/>
    </row>
    <row r="38" spans="1:14" ht="60" customHeight="1">
      <c r="A38" s="18" t="s">
        <v>249</v>
      </c>
      <c r="B38" s="22" t="s">
        <v>192</v>
      </c>
      <c r="C38" s="22" t="s">
        <v>250</v>
      </c>
      <c r="D38" s="22" t="s">
        <v>120</v>
      </c>
      <c r="E38" s="22" t="s">
        <v>202</v>
      </c>
      <c r="F38" s="22" t="s">
        <v>29</v>
      </c>
      <c r="G38" s="22" t="s">
        <v>234</v>
      </c>
      <c r="H38" s="22" t="s">
        <v>251</v>
      </c>
      <c r="I38" s="22" t="s">
        <v>204</v>
      </c>
      <c r="J38" s="22" t="s">
        <v>252</v>
      </c>
      <c r="K38" s="22" t="s">
        <v>253</v>
      </c>
      <c r="L38" s="22" t="s">
        <v>25</v>
      </c>
      <c r="M38" s="31" t="s">
        <v>26</v>
      </c>
      <c r="N38" s="3"/>
    </row>
    <row r="39" spans="1:14" s="113" customFormat="1" ht="60" customHeight="1">
      <c r="A39" s="114" t="s">
        <v>254</v>
      </c>
      <c r="B39" s="117" t="s">
        <v>192</v>
      </c>
      <c r="C39" s="117" t="s">
        <v>255</v>
      </c>
      <c r="D39" s="117" t="s">
        <v>120</v>
      </c>
      <c r="E39" s="117" t="s">
        <v>194</v>
      </c>
      <c r="F39" s="117" t="s">
        <v>29</v>
      </c>
      <c r="G39" s="117" t="s">
        <v>234</v>
      </c>
      <c r="H39" s="117" t="s">
        <v>256</v>
      </c>
      <c r="I39" s="117" t="s">
        <v>204</v>
      </c>
      <c r="J39" s="117" t="s">
        <v>257</v>
      </c>
      <c r="K39" s="117" t="s">
        <v>258</v>
      </c>
      <c r="L39" s="117" t="s">
        <v>25</v>
      </c>
      <c r="M39" s="120" t="s">
        <v>26</v>
      </c>
      <c r="N39" s="121"/>
    </row>
    <row r="40" spans="1:14" s="113" customFormat="1" ht="39" customHeight="1">
      <c r="A40" s="114" t="s">
        <v>259</v>
      </c>
      <c r="B40" s="117" t="s">
        <v>192</v>
      </c>
      <c r="C40" s="117" t="s">
        <v>260</v>
      </c>
      <c r="D40" s="117" t="s">
        <v>120</v>
      </c>
      <c r="E40" s="117" t="s">
        <v>194</v>
      </c>
      <c r="F40" s="117" t="s">
        <v>29</v>
      </c>
      <c r="G40" s="117" t="s">
        <v>234</v>
      </c>
      <c r="H40" s="117" t="s">
        <v>261</v>
      </c>
      <c r="I40" s="117" t="s">
        <v>204</v>
      </c>
      <c r="J40" s="117" t="s">
        <v>262</v>
      </c>
      <c r="K40" s="117" t="s">
        <v>263</v>
      </c>
      <c r="L40" s="117" t="s">
        <v>264</v>
      </c>
      <c r="M40" s="118" t="s">
        <v>84</v>
      </c>
      <c r="N40" s="119" t="s">
        <v>265</v>
      </c>
    </row>
    <row r="41" spans="1:14" ht="47.25" customHeight="1">
      <c r="A41" s="18" t="s">
        <v>266</v>
      </c>
      <c r="B41" s="22" t="s">
        <v>192</v>
      </c>
      <c r="C41" s="22" t="s">
        <v>267</v>
      </c>
      <c r="D41" s="22" t="s">
        <v>120</v>
      </c>
      <c r="E41" s="22" t="s">
        <v>194</v>
      </c>
      <c r="F41" s="22" t="s">
        <v>29</v>
      </c>
      <c r="G41" s="22" t="s">
        <v>234</v>
      </c>
      <c r="H41" s="22" t="s">
        <v>268</v>
      </c>
      <c r="I41" s="22" t="s">
        <v>204</v>
      </c>
      <c r="J41" s="22" t="s">
        <v>269</v>
      </c>
      <c r="K41" s="22" t="s">
        <v>270</v>
      </c>
      <c r="L41" s="22" t="s">
        <v>271</v>
      </c>
      <c r="M41" s="17" t="s">
        <v>84</v>
      </c>
      <c r="N41" s="7" t="s">
        <v>272</v>
      </c>
    </row>
    <row r="42" spans="1:14" ht="88.5" customHeight="1">
      <c r="A42" s="18" t="s">
        <v>273</v>
      </c>
      <c r="B42" s="22" t="s">
        <v>192</v>
      </c>
      <c r="C42" s="22" t="s">
        <v>274</v>
      </c>
      <c r="D42" s="22" t="s">
        <v>146</v>
      </c>
      <c r="E42" s="22" t="s">
        <v>194</v>
      </c>
      <c r="F42" s="22" t="s">
        <v>29</v>
      </c>
      <c r="G42" s="22" t="s">
        <v>234</v>
      </c>
      <c r="H42" s="22" t="s">
        <v>275</v>
      </c>
      <c r="I42" s="22" t="s">
        <v>204</v>
      </c>
      <c r="J42" s="22" t="s">
        <v>276</v>
      </c>
      <c r="K42" s="22" t="s">
        <v>277</v>
      </c>
      <c r="L42" s="22" t="s">
        <v>25</v>
      </c>
      <c r="M42" s="14" t="s">
        <v>26</v>
      </c>
      <c r="N42" s="3"/>
    </row>
    <row r="43" spans="1:14" ht="65.25" customHeight="1">
      <c r="A43" s="18" t="s">
        <v>278</v>
      </c>
      <c r="B43" s="22" t="s">
        <v>192</v>
      </c>
      <c r="C43" s="22" t="s">
        <v>279</v>
      </c>
      <c r="D43" s="22" t="s">
        <v>146</v>
      </c>
      <c r="E43" s="22" t="s">
        <v>194</v>
      </c>
      <c r="F43" s="22" t="s">
        <v>29</v>
      </c>
      <c r="G43" s="22" t="s">
        <v>234</v>
      </c>
      <c r="H43" s="22" t="s">
        <v>280</v>
      </c>
      <c r="I43" s="22" t="s">
        <v>204</v>
      </c>
      <c r="J43" s="22" t="s">
        <v>281</v>
      </c>
      <c r="K43" s="22" t="s">
        <v>282</v>
      </c>
      <c r="L43" s="18" t="s">
        <v>142</v>
      </c>
      <c r="M43" s="17" t="s">
        <v>84</v>
      </c>
      <c r="N43" s="7" t="s">
        <v>283</v>
      </c>
    </row>
    <row r="44" spans="1:14" ht="60" customHeight="1">
      <c r="A44" s="18" t="s">
        <v>284</v>
      </c>
      <c r="B44" s="22" t="s">
        <v>192</v>
      </c>
      <c r="C44" s="22" t="s">
        <v>285</v>
      </c>
      <c r="D44" s="22" t="s">
        <v>161</v>
      </c>
      <c r="E44" s="22" t="s">
        <v>194</v>
      </c>
      <c r="F44" s="22" t="s">
        <v>29</v>
      </c>
      <c r="G44" s="22" t="s">
        <v>234</v>
      </c>
      <c r="H44" s="22" t="s">
        <v>286</v>
      </c>
      <c r="I44" s="22" t="s">
        <v>204</v>
      </c>
      <c r="J44" s="22" t="s">
        <v>287</v>
      </c>
      <c r="K44" s="22" t="s">
        <v>163</v>
      </c>
      <c r="L44" s="22" t="s">
        <v>25</v>
      </c>
      <c r="M44" s="17" t="s">
        <v>26</v>
      </c>
      <c r="N44" s="3"/>
    </row>
    <row r="45" spans="1:14" ht="60" customHeight="1">
      <c r="A45" s="18" t="s">
        <v>288</v>
      </c>
      <c r="B45" s="22" t="s">
        <v>192</v>
      </c>
      <c r="C45" s="22" t="s">
        <v>289</v>
      </c>
      <c r="D45" s="22" t="s">
        <v>161</v>
      </c>
      <c r="E45" s="22" t="s">
        <v>194</v>
      </c>
      <c r="F45" s="22" t="s">
        <v>29</v>
      </c>
      <c r="G45" s="22" t="s">
        <v>290</v>
      </c>
      <c r="H45" s="22" t="s">
        <v>291</v>
      </c>
      <c r="I45" s="22" t="s">
        <v>115</v>
      </c>
      <c r="J45" s="22" t="s">
        <v>292</v>
      </c>
      <c r="K45" s="22" t="s">
        <v>293</v>
      </c>
      <c r="L45" s="22" t="s">
        <v>25</v>
      </c>
      <c r="M45" s="31" t="s">
        <v>190</v>
      </c>
      <c r="N45" s="3"/>
    </row>
    <row r="46" spans="1:14" ht="60" customHeight="1">
      <c r="A46" s="18" t="s">
        <v>294</v>
      </c>
      <c r="B46" s="22" t="s">
        <v>192</v>
      </c>
      <c r="C46" s="22" t="s">
        <v>295</v>
      </c>
      <c r="D46" s="22" t="s">
        <v>161</v>
      </c>
      <c r="E46" s="22" t="s">
        <v>202</v>
      </c>
      <c r="F46" s="22" t="s">
        <v>88</v>
      </c>
      <c r="G46" s="22" t="s">
        <v>234</v>
      </c>
      <c r="H46" s="22" t="s">
        <v>296</v>
      </c>
      <c r="I46" s="22" t="s">
        <v>236</v>
      </c>
      <c r="J46" s="22" t="s">
        <v>297</v>
      </c>
      <c r="K46" s="22" t="s">
        <v>298</v>
      </c>
      <c r="L46" s="22" t="s">
        <v>25</v>
      </c>
      <c r="M46" s="31" t="s">
        <v>190</v>
      </c>
      <c r="N46" s="3"/>
    </row>
    <row r="47" spans="1:14" ht="60" customHeight="1">
      <c r="A47" s="18" t="s">
        <v>299</v>
      </c>
      <c r="B47" s="22" t="s">
        <v>192</v>
      </c>
      <c r="C47" s="22" t="s">
        <v>300</v>
      </c>
      <c r="D47" s="22" t="s">
        <v>176</v>
      </c>
      <c r="E47" s="22" t="s">
        <v>202</v>
      </c>
      <c r="F47" s="22" t="s">
        <v>29</v>
      </c>
      <c r="G47" s="22" t="s">
        <v>234</v>
      </c>
      <c r="H47" s="22" t="s">
        <v>301</v>
      </c>
      <c r="I47" s="22" t="s">
        <v>302</v>
      </c>
      <c r="J47" s="22" t="s">
        <v>303</v>
      </c>
      <c r="K47" s="22" t="s">
        <v>304</v>
      </c>
      <c r="L47" s="22" t="s">
        <v>25</v>
      </c>
      <c r="M47" s="31" t="s">
        <v>26</v>
      </c>
      <c r="N47" s="3"/>
    </row>
    <row r="48" spans="1:14" ht="60" customHeight="1">
      <c r="A48" s="18" t="s">
        <v>305</v>
      </c>
      <c r="B48" s="22" t="s">
        <v>192</v>
      </c>
      <c r="C48" s="22" t="s">
        <v>306</v>
      </c>
      <c r="D48" s="22" t="s">
        <v>176</v>
      </c>
      <c r="E48" s="22" t="s">
        <v>194</v>
      </c>
      <c r="F48" s="22" t="s">
        <v>29</v>
      </c>
      <c r="G48" s="22" t="s">
        <v>234</v>
      </c>
      <c r="H48" s="22" t="s">
        <v>307</v>
      </c>
      <c r="I48" s="22" t="s">
        <v>204</v>
      </c>
      <c r="J48" s="22" t="s">
        <v>308</v>
      </c>
      <c r="K48" s="22" t="s">
        <v>309</v>
      </c>
      <c r="L48" s="22" t="s">
        <v>25</v>
      </c>
      <c r="M48" s="31" t="s">
        <v>190</v>
      </c>
      <c r="N48" s="3"/>
    </row>
    <row r="49" spans="1:17" ht="60" customHeight="1">
      <c r="A49" s="18" t="s">
        <v>310</v>
      </c>
      <c r="B49" s="22" t="s">
        <v>192</v>
      </c>
      <c r="C49" s="22" t="s">
        <v>311</v>
      </c>
      <c r="D49" s="22" t="s">
        <v>187</v>
      </c>
      <c r="E49" s="22" t="s">
        <v>194</v>
      </c>
      <c r="F49" s="22" t="s">
        <v>29</v>
      </c>
      <c r="G49" s="22" t="s">
        <v>234</v>
      </c>
      <c r="H49" s="22" t="s">
        <v>312</v>
      </c>
      <c r="I49" s="22" t="s">
        <v>204</v>
      </c>
      <c r="J49" s="22" t="s">
        <v>313</v>
      </c>
      <c r="K49" s="22" t="s">
        <v>189</v>
      </c>
      <c r="L49" s="22" t="s">
        <v>25</v>
      </c>
      <c r="M49" s="14" t="s">
        <v>190</v>
      </c>
      <c r="N49" s="3"/>
    </row>
    <row r="50" spans="1:17" ht="60" customHeight="1">
      <c r="A50" s="18" t="s">
        <v>314</v>
      </c>
      <c r="B50" s="22" t="s">
        <v>192</v>
      </c>
      <c r="C50" s="22" t="s">
        <v>315</v>
      </c>
      <c r="D50" s="22" t="s">
        <v>187</v>
      </c>
      <c r="E50" s="22" t="s">
        <v>202</v>
      </c>
      <c r="F50" s="22" t="s">
        <v>29</v>
      </c>
      <c r="G50" s="22" t="s">
        <v>234</v>
      </c>
      <c r="H50" s="22" t="s">
        <v>316</v>
      </c>
      <c r="I50" s="22" t="s">
        <v>204</v>
      </c>
      <c r="J50" s="22" t="s">
        <v>317</v>
      </c>
      <c r="K50" s="22" t="s">
        <v>189</v>
      </c>
      <c r="L50" s="22" t="s">
        <v>25</v>
      </c>
      <c r="M50" s="14" t="s">
        <v>190</v>
      </c>
      <c r="N50" s="3"/>
    </row>
    <row r="51" spans="1:17" ht="60" customHeight="1">
      <c r="A51" s="18" t="s">
        <v>318</v>
      </c>
      <c r="B51" s="22" t="s">
        <v>319</v>
      </c>
      <c r="C51" s="22" t="s">
        <v>320</v>
      </c>
      <c r="D51" s="22" t="s">
        <v>176</v>
      </c>
      <c r="E51" s="22" t="s">
        <v>18</v>
      </c>
      <c r="F51" s="22" t="s">
        <v>29</v>
      </c>
      <c r="G51" s="22" t="s">
        <v>20</v>
      </c>
      <c r="H51" s="22" t="s">
        <v>321</v>
      </c>
      <c r="I51" s="22" t="s">
        <v>322</v>
      </c>
      <c r="J51" s="22" t="s">
        <v>323</v>
      </c>
      <c r="K51" s="22" t="s">
        <v>324</v>
      </c>
      <c r="L51" s="22" t="s">
        <v>25</v>
      </c>
      <c r="M51" s="16" t="s">
        <v>190</v>
      </c>
      <c r="N51" s="3"/>
    </row>
    <row r="52" spans="1:17" ht="60" customHeight="1">
      <c r="A52" s="18" t="s">
        <v>325</v>
      </c>
      <c r="B52" s="22" t="s">
        <v>326</v>
      </c>
      <c r="C52" s="22" t="s">
        <v>327</v>
      </c>
      <c r="D52" s="22" t="s">
        <v>17</v>
      </c>
      <c r="E52" s="22" t="s">
        <v>18</v>
      </c>
      <c r="F52" s="22" t="s">
        <v>328</v>
      </c>
      <c r="G52" s="22" t="s">
        <v>21</v>
      </c>
      <c r="H52" s="22" t="s">
        <v>21</v>
      </c>
      <c r="I52" s="22" t="s">
        <v>90</v>
      </c>
      <c r="J52" s="22" t="s">
        <v>329</v>
      </c>
      <c r="K52" s="22" t="s">
        <v>330</v>
      </c>
      <c r="L52" s="22"/>
      <c r="M52" s="10" t="s">
        <v>26</v>
      </c>
      <c r="N52" s="3"/>
    </row>
    <row r="53" spans="1:17" ht="75" customHeight="1">
      <c r="A53" s="18" t="s">
        <v>331</v>
      </c>
      <c r="B53" s="22" t="s">
        <v>332</v>
      </c>
      <c r="C53" s="22" t="s">
        <v>333</v>
      </c>
      <c r="D53" s="22" t="s">
        <v>334</v>
      </c>
      <c r="E53" s="22" t="s">
        <v>335</v>
      </c>
      <c r="F53" s="22" t="s">
        <v>19</v>
      </c>
      <c r="G53" s="22" t="s">
        <v>336</v>
      </c>
      <c r="H53" s="22" t="s">
        <v>337</v>
      </c>
      <c r="I53" s="22" t="s">
        <v>90</v>
      </c>
      <c r="J53" s="22" t="s">
        <v>338</v>
      </c>
      <c r="K53" s="22" t="s">
        <v>339</v>
      </c>
      <c r="L53" s="22"/>
      <c r="M53" s="14" t="s">
        <v>26</v>
      </c>
      <c r="N53" s="13"/>
    </row>
    <row r="54" spans="1:17" s="113" customFormat="1" ht="75" customHeight="1">
      <c r="A54" s="114" t="s">
        <v>340</v>
      </c>
      <c r="B54" s="117" t="s">
        <v>332</v>
      </c>
      <c r="C54" s="117" t="s">
        <v>341</v>
      </c>
      <c r="D54" s="117" t="s">
        <v>334</v>
      </c>
      <c r="E54" s="117" t="s">
        <v>342</v>
      </c>
      <c r="F54" s="117" t="s">
        <v>343</v>
      </c>
      <c r="G54" s="117" t="s">
        <v>344</v>
      </c>
      <c r="H54" s="117" t="s">
        <v>345</v>
      </c>
      <c r="I54" s="117" t="s">
        <v>115</v>
      </c>
      <c r="J54" s="117" t="s">
        <v>346</v>
      </c>
      <c r="K54" s="117" t="s">
        <v>347</v>
      </c>
      <c r="L54" s="117"/>
      <c r="M54" s="122" t="s">
        <v>190</v>
      </c>
      <c r="N54" s="121"/>
    </row>
    <row r="55" spans="1:17" ht="47.25" customHeight="1">
      <c r="A55" s="18" t="s">
        <v>348</v>
      </c>
      <c r="B55" s="18" t="s">
        <v>15</v>
      </c>
      <c r="C55" s="18" t="s">
        <v>349</v>
      </c>
      <c r="D55" s="18" t="s">
        <v>120</v>
      </c>
      <c r="E55" s="18" t="s">
        <v>18</v>
      </c>
      <c r="F55" s="22" t="s">
        <v>350</v>
      </c>
      <c r="G55" s="18" t="s">
        <v>20</v>
      </c>
      <c r="H55" s="18" t="s">
        <v>351</v>
      </c>
      <c r="I55" s="18" t="s">
        <v>90</v>
      </c>
      <c r="J55" s="18" t="s">
        <v>352</v>
      </c>
      <c r="K55" s="18" t="s">
        <v>82</v>
      </c>
      <c r="L55" s="18" t="s">
        <v>142</v>
      </c>
      <c r="M55" s="12" t="s">
        <v>84</v>
      </c>
      <c r="N55" s="7" t="s">
        <v>353</v>
      </c>
    </row>
    <row r="56" spans="1:17" ht="72.75" customHeight="1">
      <c r="A56" s="32" t="s">
        <v>354</v>
      </c>
      <c r="B56" s="33" t="s">
        <v>319</v>
      </c>
      <c r="C56" s="33" t="s">
        <v>355</v>
      </c>
      <c r="D56" s="34" t="s">
        <v>356</v>
      </c>
      <c r="E56" s="34" t="s">
        <v>357</v>
      </c>
      <c r="F56" s="35" t="s">
        <v>358</v>
      </c>
      <c r="G56" s="35" t="s">
        <v>359</v>
      </c>
      <c r="H56" s="35" t="s">
        <v>21</v>
      </c>
      <c r="I56" s="35" t="s">
        <v>360</v>
      </c>
      <c r="J56" s="35" t="s">
        <v>361</v>
      </c>
      <c r="K56" s="35" t="s">
        <v>362</v>
      </c>
      <c r="L56" s="35" t="s">
        <v>363</v>
      </c>
      <c r="M56" s="40" t="s">
        <v>84</v>
      </c>
      <c r="N56" s="7" t="s">
        <v>364</v>
      </c>
      <c r="O56" s="27"/>
      <c r="P56" s="27"/>
      <c r="Q56" s="28"/>
    </row>
    <row r="57" spans="1:17" ht="72.75" customHeight="1">
      <c r="A57" s="32" t="s">
        <v>365</v>
      </c>
      <c r="B57" s="36" t="s">
        <v>319</v>
      </c>
      <c r="C57" s="36" t="s">
        <v>366</v>
      </c>
      <c r="D57" s="37" t="s">
        <v>356</v>
      </c>
      <c r="E57" s="37" t="s">
        <v>357</v>
      </c>
      <c r="F57" s="38" t="s">
        <v>358</v>
      </c>
      <c r="G57" s="38" t="s">
        <v>21</v>
      </c>
      <c r="H57" s="38" t="s">
        <v>21</v>
      </c>
      <c r="I57" s="38" t="s">
        <v>367</v>
      </c>
      <c r="J57" s="38" t="s">
        <v>368</v>
      </c>
      <c r="K57" s="38" t="s">
        <v>369</v>
      </c>
      <c r="L57" s="38" t="s">
        <v>370</v>
      </c>
      <c r="M57" s="41" t="s">
        <v>231</v>
      </c>
      <c r="N57" s="37"/>
      <c r="O57" s="29"/>
      <c r="P57" s="29"/>
      <c r="Q57" s="30"/>
    </row>
    <row r="58" spans="1:17" ht="72.75" customHeight="1">
      <c r="A58" s="32" t="s">
        <v>371</v>
      </c>
      <c r="B58" s="36" t="s">
        <v>319</v>
      </c>
      <c r="C58" s="36" t="s">
        <v>372</v>
      </c>
      <c r="D58" s="37" t="s">
        <v>356</v>
      </c>
      <c r="E58" s="37" t="s">
        <v>18</v>
      </c>
      <c r="F58" s="38" t="s">
        <v>373</v>
      </c>
      <c r="G58" s="38" t="s">
        <v>21</v>
      </c>
      <c r="H58" s="38" t="s">
        <v>21</v>
      </c>
      <c r="I58" s="38" t="s">
        <v>374</v>
      </c>
      <c r="J58" s="38" t="s">
        <v>375</v>
      </c>
      <c r="K58" s="38" t="s">
        <v>376</v>
      </c>
      <c r="L58" s="38" t="s">
        <v>377</v>
      </c>
      <c r="M58" s="41" t="s">
        <v>231</v>
      </c>
      <c r="N58" s="37"/>
      <c r="O58" s="29"/>
      <c r="P58" s="29"/>
      <c r="Q58" s="30"/>
    </row>
    <row r="59" spans="1:17" ht="72.75" customHeight="1">
      <c r="A59" s="32" t="s">
        <v>378</v>
      </c>
      <c r="B59" s="36" t="s">
        <v>319</v>
      </c>
      <c r="C59" s="36" t="s">
        <v>379</v>
      </c>
      <c r="D59" s="37" t="s">
        <v>356</v>
      </c>
      <c r="E59" s="37" t="s">
        <v>357</v>
      </c>
      <c r="F59" s="38" t="s">
        <v>358</v>
      </c>
      <c r="G59" s="38" t="s">
        <v>380</v>
      </c>
      <c r="H59" s="38" t="s">
        <v>21</v>
      </c>
      <c r="I59" s="38" t="s">
        <v>381</v>
      </c>
      <c r="J59" s="38" t="s">
        <v>382</v>
      </c>
      <c r="K59" s="38" t="s">
        <v>383</v>
      </c>
      <c r="L59" s="38" t="s">
        <v>384</v>
      </c>
      <c r="M59" s="41" t="s">
        <v>231</v>
      </c>
      <c r="N59" s="37"/>
      <c r="O59" s="29"/>
      <c r="P59" s="29"/>
      <c r="Q59" s="30"/>
    </row>
    <row r="60" spans="1:17" ht="72.75" customHeight="1">
      <c r="A60" s="32" t="s">
        <v>385</v>
      </c>
      <c r="B60" s="36" t="s">
        <v>319</v>
      </c>
      <c r="C60" s="36" t="s">
        <v>386</v>
      </c>
      <c r="D60" s="37" t="s">
        <v>356</v>
      </c>
      <c r="E60" s="37" t="s">
        <v>357</v>
      </c>
      <c r="F60" s="38" t="s">
        <v>387</v>
      </c>
      <c r="G60" s="38" t="s">
        <v>359</v>
      </c>
      <c r="H60" s="38" t="s">
        <v>21</v>
      </c>
      <c r="I60" s="38" t="s">
        <v>388</v>
      </c>
      <c r="J60" s="38" t="s">
        <v>389</v>
      </c>
      <c r="K60" s="38" t="s">
        <v>390</v>
      </c>
      <c r="L60" s="38" t="s">
        <v>391</v>
      </c>
      <c r="M60" s="41" t="s">
        <v>231</v>
      </c>
      <c r="N60" s="37"/>
      <c r="O60" s="29"/>
      <c r="P60" s="29"/>
      <c r="Q60" s="30"/>
    </row>
    <row r="61" spans="1:17" ht="72.75" customHeight="1">
      <c r="A61" s="32" t="s">
        <v>392</v>
      </c>
      <c r="B61" s="36" t="s">
        <v>319</v>
      </c>
      <c r="C61" s="36" t="s">
        <v>393</v>
      </c>
      <c r="D61" s="37" t="s">
        <v>356</v>
      </c>
      <c r="E61" s="37" t="s">
        <v>357</v>
      </c>
      <c r="F61" s="39" t="s">
        <v>394</v>
      </c>
      <c r="G61" s="36" t="s">
        <v>359</v>
      </c>
      <c r="H61" s="38" t="s">
        <v>21</v>
      </c>
      <c r="I61" s="38" t="s">
        <v>395</v>
      </c>
      <c r="J61" s="38" t="s">
        <v>396</v>
      </c>
      <c r="K61" s="38" t="s">
        <v>397</v>
      </c>
      <c r="L61" s="38" t="s">
        <v>398</v>
      </c>
      <c r="M61" s="41" t="s">
        <v>231</v>
      </c>
      <c r="N61" s="37"/>
      <c r="O61" s="29"/>
      <c r="P61" s="29"/>
      <c r="Q61" s="30"/>
    </row>
    <row r="62" spans="1:17" ht="72.75" customHeight="1">
      <c r="A62" s="32" t="s">
        <v>399</v>
      </c>
      <c r="B62" s="36" t="s">
        <v>319</v>
      </c>
      <c r="C62" s="36" t="s">
        <v>400</v>
      </c>
      <c r="D62" s="37" t="s">
        <v>356</v>
      </c>
      <c r="E62" s="37" t="s">
        <v>357</v>
      </c>
      <c r="F62" s="35" t="s">
        <v>401</v>
      </c>
      <c r="G62" s="38" t="s">
        <v>359</v>
      </c>
      <c r="H62" s="38" t="s">
        <v>21</v>
      </c>
      <c r="I62" s="38" t="s">
        <v>21</v>
      </c>
      <c r="J62" s="38" t="s">
        <v>402</v>
      </c>
      <c r="K62" s="38" t="s">
        <v>403</v>
      </c>
      <c r="L62" s="38" t="s">
        <v>391</v>
      </c>
      <c r="M62" s="41" t="s">
        <v>231</v>
      </c>
      <c r="N62" s="37"/>
      <c r="O62" s="29"/>
      <c r="P62" s="29"/>
      <c r="Q62" s="30"/>
    </row>
    <row r="63" spans="1:17" ht="72.75" customHeight="1">
      <c r="A63" s="32" t="s">
        <v>404</v>
      </c>
      <c r="B63" s="36" t="s">
        <v>405</v>
      </c>
      <c r="C63" s="36" t="s">
        <v>406</v>
      </c>
      <c r="D63" s="37" t="s">
        <v>356</v>
      </c>
      <c r="E63" s="37" t="s">
        <v>18</v>
      </c>
      <c r="F63" s="38" t="s">
        <v>328</v>
      </c>
      <c r="G63" s="38" t="s">
        <v>21</v>
      </c>
      <c r="H63" s="38" t="s">
        <v>21</v>
      </c>
      <c r="I63" s="38" t="s">
        <v>21</v>
      </c>
      <c r="J63" s="38" t="s">
        <v>407</v>
      </c>
      <c r="K63" s="38" t="s">
        <v>408</v>
      </c>
      <c r="L63" s="38" t="s">
        <v>409</v>
      </c>
      <c r="M63" s="41" t="s">
        <v>231</v>
      </c>
      <c r="N63" s="37"/>
      <c r="O63" s="29"/>
      <c r="P63" s="29"/>
      <c r="Q63" s="30"/>
    </row>
    <row r="64" spans="1:17" ht="72.75" customHeight="1">
      <c r="A64" s="32" t="s">
        <v>410</v>
      </c>
      <c r="B64" s="36" t="s">
        <v>405</v>
      </c>
      <c r="C64" s="36" t="s">
        <v>411</v>
      </c>
      <c r="D64" s="37" t="s">
        <v>356</v>
      </c>
      <c r="E64" s="37" t="s">
        <v>18</v>
      </c>
      <c r="F64" s="38" t="s">
        <v>328</v>
      </c>
      <c r="G64" s="38" t="s">
        <v>21</v>
      </c>
      <c r="H64" s="38" t="s">
        <v>21</v>
      </c>
      <c r="I64" s="38" t="s">
        <v>21</v>
      </c>
      <c r="J64" s="38" t="s">
        <v>407</v>
      </c>
      <c r="K64" s="38" t="s">
        <v>412</v>
      </c>
      <c r="L64" s="38" t="s">
        <v>413</v>
      </c>
      <c r="M64" s="41" t="s">
        <v>231</v>
      </c>
      <c r="N64" s="37"/>
      <c r="O64" s="29"/>
      <c r="P64" s="29"/>
      <c r="Q64" s="30"/>
    </row>
    <row r="65" spans="1:17" ht="72.75" customHeight="1">
      <c r="A65" s="32" t="s">
        <v>414</v>
      </c>
      <c r="B65" s="36" t="s">
        <v>405</v>
      </c>
      <c r="C65" s="36" t="s">
        <v>415</v>
      </c>
      <c r="D65" s="37" t="s">
        <v>416</v>
      </c>
      <c r="E65" s="37" t="s">
        <v>18</v>
      </c>
      <c r="F65" s="38" t="s">
        <v>328</v>
      </c>
      <c r="G65" s="38" t="s">
        <v>21</v>
      </c>
      <c r="H65" s="38" t="s">
        <v>21</v>
      </c>
      <c r="I65" s="38" t="s">
        <v>21</v>
      </c>
      <c r="J65" s="38" t="s">
        <v>407</v>
      </c>
      <c r="K65" s="38" t="s">
        <v>417</v>
      </c>
      <c r="L65" s="38" t="s">
        <v>418</v>
      </c>
      <c r="M65" s="41" t="s">
        <v>231</v>
      </c>
      <c r="N65" s="37"/>
      <c r="O65" s="29"/>
      <c r="P65" s="29"/>
      <c r="Q65" s="30"/>
    </row>
    <row r="66" spans="1:17" ht="72.75" customHeight="1">
      <c r="A66" s="32" t="s">
        <v>419</v>
      </c>
      <c r="B66" s="36" t="s">
        <v>405</v>
      </c>
      <c r="C66" s="36" t="s">
        <v>420</v>
      </c>
      <c r="D66" s="37" t="s">
        <v>356</v>
      </c>
      <c r="E66" s="37" t="s">
        <v>113</v>
      </c>
      <c r="F66" s="38" t="s">
        <v>328</v>
      </c>
      <c r="G66" s="38" t="s">
        <v>21</v>
      </c>
      <c r="H66" s="38" t="s">
        <v>21</v>
      </c>
      <c r="I66" s="38" t="s">
        <v>21</v>
      </c>
      <c r="J66" s="38" t="s">
        <v>421</v>
      </c>
      <c r="K66" s="38" t="s">
        <v>422</v>
      </c>
      <c r="L66" s="38" t="s">
        <v>423</v>
      </c>
      <c r="M66" s="41" t="s">
        <v>231</v>
      </c>
      <c r="N66" s="37"/>
      <c r="O66" s="29"/>
      <c r="P66" s="29"/>
      <c r="Q66" s="30"/>
    </row>
    <row r="67" spans="1:17" ht="90" customHeight="1">
      <c r="A67" s="32" t="s">
        <v>424</v>
      </c>
      <c r="B67" s="36" t="s">
        <v>405</v>
      </c>
      <c r="C67" s="36" t="s">
        <v>425</v>
      </c>
      <c r="D67" s="37" t="s">
        <v>356</v>
      </c>
      <c r="E67" s="37" t="s">
        <v>18</v>
      </c>
      <c r="F67" s="38" t="s">
        <v>328</v>
      </c>
      <c r="G67" s="38" t="s">
        <v>336</v>
      </c>
      <c r="H67" s="38" t="s">
        <v>21</v>
      </c>
      <c r="I67" s="38" t="s">
        <v>21</v>
      </c>
      <c r="J67" s="38" t="s">
        <v>407</v>
      </c>
      <c r="K67" s="38" t="s">
        <v>426</v>
      </c>
      <c r="L67" s="38" t="s">
        <v>427</v>
      </c>
      <c r="M67" s="41" t="s">
        <v>231</v>
      </c>
      <c r="N67" s="37"/>
      <c r="O67" s="29"/>
      <c r="P67" s="29"/>
      <c r="Q67" s="30"/>
    </row>
    <row r="68" spans="1:17" ht="75" customHeight="1">
      <c r="A68" s="50" t="s">
        <v>428</v>
      </c>
      <c r="B68" s="51" t="s">
        <v>429</v>
      </c>
      <c r="C68" s="51" t="s">
        <v>430</v>
      </c>
      <c r="D68" s="51" t="s">
        <v>17</v>
      </c>
      <c r="E68" s="51" t="s">
        <v>113</v>
      </c>
      <c r="F68" s="51" t="s">
        <v>431</v>
      </c>
      <c r="G68" s="51" t="s">
        <v>336</v>
      </c>
      <c r="H68" s="51" t="s">
        <v>345</v>
      </c>
      <c r="I68" s="51" t="s">
        <v>21</v>
      </c>
      <c r="J68" s="51" t="s">
        <v>432</v>
      </c>
      <c r="K68" s="51" t="s">
        <v>433</v>
      </c>
      <c r="L68" s="51" t="s">
        <v>434</v>
      </c>
      <c r="M68" s="54" t="s">
        <v>231</v>
      </c>
      <c r="N68" s="47" t="s">
        <v>435</v>
      </c>
    </row>
    <row r="69" spans="1:17" ht="65.25" customHeight="1">
      <c r="A69" s="48" t="s">
        <v>436</v>
      </c>
      <c r="B69" s="49" t="s">
        <v>429</v>
      </c>
      <c r="C69" s="49" t="s">
        <v>437</v>
      </c>
      <c r="D69" s="49" t="s">
        <v>78</v>
      </c>
      <c r="E69" s="49" t="s">
        <v>113</v>
      </c>
      <c r="F69" s="49" t="s">
        <v>431</v>
      </c>
      <c r="G69" s="49" t="s">
        <v>336</v>
      </c>
      <c r="H69" s="49" t="s">
        <v>438</v>
      </c>
      <c r="I69" s="49" t="s">
        <v>439</v>
      </c>
      <c r="J69" s="49" t="s">
        <v>440</v>
      </c>
      <c r="K69" s="49" t="s">
        <v>441</v>
      </c>
      <c r="L69" s="49" t="s">
        <v>442</v>
      </c>
      <c r="M69" s="55" t="s">
        <v>84</v>
      </c>
      <c r="N69" s="70" t="s">
        <v>443</v>
      </c>
    </row>
    <row r="70" spans="1:17" ht="65.25" customHeight="1">
      <c r="A70" s="52" t="s">
        <v>444</v>
      </c>
      <c r="B70" s="53" t="s">
        <v>429</v>
      </c>
      <c r="C70" s="53" t="s">
        <v>445</v>
      </c>
      <c r="D70" s="53" t="s">
        <v>78</v>
      </c>
      <c r="E70" s="53" t="s">
        <v>113</v>
      </c>
      <c r="F70" s="53" t="s">
        <v>431</v>
      </c>
      <c r="G70" s="53" t="s">
        <v>336</v>
      </c>
      <c r="H70" s="53" t="s">
        <v>446</v>
      </c>
      <c r="I70" s="53" t="s">
        <v>439</v>
      </c>
      <c r="J70" s="53" t="s">
        <v>447</v>
      </c>
      <c r="K70" s="53" t="s">
        <v>441</v>
      </c>
      <c r="L70" s="53" t="s">
        <v>442</v>
      </c>
      <c r="M70" s="56" t="s">
        <v>84</v>
      </c>
      <c r="N70" s="70" t="s">
        <v>443</v>
      </c>
    </row>
    <row r="71" spans="1:17" ht="68.25" customHeight="1">
      <c r="A71" s="52" t="s">
        <v>448</v>
      </c>
      <c r="B71" s="53" t="s">
        <v>429</v>
      </c>
      <c r="C71" s="53" t="s">
        <v>449</v>
      </c>
      <c r="D71" s="53" t="s">
        <v>78</v>
      </c>
      <c r="E71" s="53" t="s">
        <v>113</v>
      </c>
      <c r="F71" s="53" t="s">
        <v>431</v>
      </c>
      <c r="G71" s="53" t="s">
        <v>336</v>
      </c>
      <c r="H71" s="53" t="s">
        <v>450</v>
      </c>
      <c r="I71" s="53" t="s">
        <v>439</v>
      </c>
      <c r="J71" s="53" t="s">
        <v>451</v>
      </c>
      <c r="K71" s="53" t="s">
        <v>441</v>
      </c>
      <c r="L71" s="53" t="s">
        <v>442</v>
      </c>
      <c r="M71" s="56" t="s">
        <v>84</v>
      </c>
      <c r="N71" s="70" t="s">
        <v>443</v>
      </c>
    </row>
    <row r="72" spans="1:17" ht="78" customHeight="1">
      <c r="A72" s="52" t="s">
        <v>452</v>
      </c>
      <c r="B72" s="53" t="s">
        <v>429</v>
      </c>
      <c r="C72" s="53" t="s">
        <v>453</v>
      </c>
      <c r="D72" s="53" t="s">
        <v>454</v>
      </c>
      <c r="E72" s="53" t="s">
        <v>113</v>
      </c>
      <c r="F72" s="53" t="s">
        <v>431</v>
      </c>
      <c r="G72" s="53" t="s">
        <v>336</v>
      </c>
      <c r="H72" s="53" t="s">
        <v>455</v>
      </c>
      <c r="I72" s="53" t="s">
        <v>439</v>
      </c>
      <c r="J72" s="53" t="s">
        <v>456</v>
      </c>
      <c r="K72" s="53" t="s">
        <v>457</v>
      </c>
      <c r="L72" s="53" t="s">
        <v>458</v>
      </c>
      <c r="M72" s="56" t="s">
        <v>84</v>
      </c>
      <c r="N72" s="70" t="s">
        <v>459</v>
      </c>
    </row>
    <row r="73" spans="1:17" ht="63.75" customHeight="1">
      <c r="A73" s="52" t="s">
        <v>460</v>
      </c>
      <c r="B73" s="53" t="s">
        <v>429</v>
      </c>
      <c r="C73" s="53" t="s">
        <v>461</v>
      </c>
      <c r="D73" s="53" t="s">
        <v>454</v>
      </c>
      <c r="E73" s="53" t="s">
        <v>113</v>
      </c>
      <c r="F73" s="53" t="s">
        <v>431</v>
      </c>
      <c r="G73" s="53" t="s">
        <v>336</v>
      </c>
      <c r="H73" s="53" t="s">
        <v>462</v>
      </c>
      <c r="I73" s="53" t="s">
        <v>439</v>
      </c>
      <c r="J73" s="53" t="s">
        <v>463</v>
      </c>
      <c r="K73" s="53" t="s">
        <v>457</v>
      </c>
      <c r="L73" s="53" t="s">
        <v>458</v>
      </c>
      <c r="M73" s="56" t="s">
        <v>84</v>
      </c>
      <c r="N73" s="70" t="s">
        <v>459</v>
      </c>
    </row>
    <row r="74" spans="1:17" ht="55.5" customHeight="1">
      <c r="A74" s="52" t="s">
        <v>464</v>
      </c>
      <c r="B74" s="53" t="s">
        <v>429</v>
      </c>
      <c r="C74" s="53" t="s">
        <v>465</v>
      </c>
      <c r="D74" s="53" t="s">
        <v>454</v>
      </c>
      <c r="E74" s="53" t="s">
        <v>113</v>
      </c>
      <c r="F74" s="53" t="s">
        <v>431</v>
      </c>
      <c r="G74" s="53" t="s">
        <v>336</v>
      </c>
      <c r="H74" s="53" t="s">
        <v>251</v>
      </c>
      <c r="I74" s="53" t="s">
        <v>439</v>
      </c>
      <c r="J74" s="53" t="s">
        <v>466</v>
      </c>
      <c r="K74" s="53" t="s">
        <v>467</v>
      </c>
      <c r="L74" s="53" t="s">
        <v>468</v>
      </c>
      <c r="M74" s="56" t="s">
        <v>84</v>
      </c>
      <c r="N74" s="70" t="s">
        <v>459</v>
      </c>
    </row>
    <row r="75" spans="1:17" ht="66.75" customHeight="1">
      <c r="A75" s="52" t="s">
        <v>469</v>
      </c>
      <c r="B75" s="53" t="s">
        <v>429</v>
      </c>
      <c r="C75" s="53" t="s">
        <v>470</v>
      </c>
      <c r="D75" s="53" t="s">
        <v>78</v>
      </c>
      <c r="E75" s="53" t="s">
        <v>113</v>
      </c>
      <c r="F75" s="53" t="s">
        <v>431</v>
      </c>
      <c r="G75" s="53" t="s">
        <v>336</v>
      </c>
      <c r="H75" s="53" t="s">
        <v>471</v>
      </c>
      <c r="I75" s="53" t="s">
        <v>439</v>
      </c>
      <c r="J75" s="53" t="s">
        <v>472</v>
      </c>
      <c r="K75" s="53" t="s">
        <v>441</v>
      </c>
      <c r="L75" s="53" t="s">
        <v>442</v>
      </c>
      <c r="M75" s="56" t="s">
        <v>84</v>
      </c>
      <c r="N75" s="53" t="s">
        <v>443</v>
      </c>
    </row>
    <row r="76" spans="1:17" ht="58.5" customHeight="1">
      <c r="A76" s="52" t="s">
        <v>473</v>
      </c>
      <c r="B76" s="53" t="s">
        <v>429</v>
      </c>
      <c r="C76" s="53" t="s">
        <v>474</v>
      </c>
      <c r="D76" s="53" t="s">
        <v>120</v>
      </c>
      <c r="E76" s="53" t="s">
        <v>113</v>
      </c>
      <c r="F76" s="53" t="s">
        <v>431</v>
      </c>
      <c r="G76" s="53" t="s">
        <v>336</v>
      </c>
      <c r="H76" s="53" t="s">
        <v>475</v>
      </c>
      <c r="I76" s="53" t="s">
        <v>439</v>
      </c>
      <c r="J76" s="53" t="s">
        <v>476</v>
      </c>
      <c r="K76" s="53" t="s">
        <v>477</v>
      </c>
      <c r="L76" s="53" t="s">
        <v>478</v>
      </c>
      <c r="M76" s="56" t="s">
        <v>84</v>
      </c>
      <c r="N76" s="53" t="s">
        <v>479</v>
      </c>
    </row>
    <row r="77" spans="1:17" ht="46.5" customHeight="1">
      <c r="A77" s="52" t="s">
        <v>480</v>
      </c>
      <c r="B77" s="53" t="s">
        <v>429</v>
      </c>
      <c r="C77" s="53" t="s">
        <v>481</v>
      </c>
      <c r="D77" s="53" t="s">
        <v>482</v>
      </c>
      <c r="E77" s="53" t="s">
        <v>113</v>
      </c>
      <c r="F77" s="53" t="s">
        <v>431</v>
      </c>
      <c r="G77" s="53" t="s">
        <v>336</v>
      </c>
      <c r="H77" s="53" t="s">
        <v>483</v>
      </c>
      <c r="I77" s="53" t="s">
        <v>439</v>
      </c>
      <c r="J77" s="53" t="s">
        <v>484</v>
      </c>
      <c r="K77" s="53" t="s">
        <v>485</v>
      </c>
      <c r="L77" s="53" t="s">
        <v>434</v>
      </c>
      <c r="M77" s="54" t="s">
        <v>231</v>
      </c>
      <c r="N77" s="53" t="s">
        <v>435</v>
      </c>
    </row>
    <row r="78" spans="1:17" ht="46.5" customHeight="1">
      <c r="A78" s="52" t="s">
        <v>486</v>
      </c>
      <c r="B78" s="53" t="s">
        <v>429</v>
      </c>
      <c r="C78" s="53" t="s">
        <v>487</v>
      </c>
      <c r="D78" s="53" t="s">
        <v>488</v>
      </c>
      <c r="E78" s="53" t="s">
        <v>113</v>
      </c>
      <c r="F78" s="53" t="s">
        <v>431</v>
      </c>
      <c r="G78" s="53" t="s">
        <v>336</v>
      </c>
      <c r="H78" s="53" t="s">
        <v>345</v>
      </c>
      <c r="I78" s="53" t="s">
        <v>439</v>
      </c>
      <c r="J78" s="53" t="s">
        <v>489</v>
      </c>
      <c r="K78" s="53" t="s">
        <v>490</v>
      </c>
      <c r="L78" s="53" t="s">
        <v>491</v>
      </c>
      <c r="M78" s="54" t="s">
        <v>231</v>
      </c>
      <c r="N78" s="53" t="s">
        <v>435</v>
      </c>
    </row>
    <row r="79" spans="1:17" ht="73.5" customHeight="1">
      <c r="A79" s="52" t="s">
        <v>492</v>
      </c>
      <c r="B79" s="53" t="s">
        <v>429</v>
      </c>
      <c r="C79" s="53" t="s">
        <v>493</v>
      </c>
      <c r="D79" s="53" t="s">
        <v>78</v>
      </c>
      <c r="E79" s="53" t="s">
        <v>113</v>
      </c>
      <c r="F79" s="53" t="s">
        <v>431</v>
      </c>
      <c r="G79" s="53" t="s">
        <v>494</v>
      </c>
      <c r="H79" s="53" t="s">
        <v>345</v>
      </c>
      <c r="I79" s="53" t="s">
        <v>439</v>
      </c>
      <c r="J79" s="53" t="s">
        <v>495</v>
      </c>
      <c r="K79" s="53" t="s">
        <v>496</v>
      </c>
      <c r="L79" s="53" t="s">
        <v>497</v>
      </c>
      <c r="M79" s="56" t="s">
        <v>84</v>
      </c>
      <c r="N79" s="53" t="s">
        <v>498</v>
      </c>
    </row>
    <row r="80" spans="1:17" ht="105.75" customHeight="1">
      <c r="A80" s="52" t="s">
        <v>499</v>
      </c>
      <c r="B80" s="61" t="s">
        <v>500</v>
      </c>
      <c r="C80" s="62" t="s">
        <v>501</v>
      </c>
      <c r="D80" s="62" t="s">
        <v>17</v>
      </c>
      <c r="E80" s="62" t="s">
        <v>113</v>
      </c>
      <c r="F80" s="62" t="s">
        <v>19</v>
      </c>
      <c r="G80" s="62" t="s">
        <v>336</v>
      </c>
      <c r="H80" s="62" t="s">
        <v>502</v>
      </c>
      <c r="I80" s="62" t="s">
        <v>439</v>
      </c>
      <c r="J80" s="62" t="s">
        <v>503</v>
      </c>
      <c r="K80" s="62" t="s">
        <v>504</v>
      </c>
      <c r="L80" s="62" t="s">
        <v>434</v>
      </c>
      <c r="M80" s="54" t="s">
        <v>231</v>
      </c>
      <c r="N80" s="62" t="s">
        <v>435</v>
      </c>
    </row>
    <row r="81" spans="1:14" ht="99.75" customHeight="1">
      <c r="A81" s="52" t="s">
        <v>505</v>
      </c>
      <c r="B81" s="63" t="s">
        <v>500</v>
      </c>
      <c r="C81" s="64" t="s">
        <v>506</v>
      </c>
      <c r="D81" s="64" t="s">
        <v>17</v>
      </c>
      <c r="E81" s="64" t="s">
        <v>113</v>
      </c>
      <c r="F81" s="64" t="s">
        <v>19</v>
      </c>
      <c r="G81" s="64" t="s">
        <v>336</v>
      </c>
      <c r="H81" s="64" t="s">
        <v>502</v>
      </c>
      <c r="I81" s="64" t="s">
        <v>439</v>
      </c>
      <c r="J81" s="64" t="s">
        <v>507</v>
      </c>
      <c r="K81" s="64" t="s">
        <v>508</v>
      </c>
      <c r="L81" s="64" t="s">
        <v>434</v>
      </c>
      <c r="M81" s="54" t="s">
        <v>231</v>
      </c>
      <c r="N81" s="64" t="s">
        <v>435</v>
      </c>
    </row>
    <row r="82" spans="1:14" ht="82.5" customHeight="1">
      <c r="A82" s="52" t="s">
        <v>509</v>
      </c>
      <c r="B82" s="57" t="s">
        <v>500</v>
      </c>
      <c r="C82" s="58" t="s">
        <v>510</v>
      </c>
      <c r="D82" s="58" t="s">
        <v>78</v>
      </c>
      <c r="E82" s="58" t="s">
        <v>113</v>
      </c>
      <c r="F82" s="58" t="s">
        <v>19</v>
      </c>
      <c r="G82" s="58" t="s">
        <v>336</v>
      </c>
      <c r="H82" s="58" t="s">
        <v>511</v>
      </c>
      <c r="I82" s="58" t="s">
        <v>439</v>
      </c>
      <c r="J82" s="58" t="s">
        <v>512</v>
      </c>
      <c r="K82" s="58" t="s">
        <v>513</v>
      </c>
      <c r="L82" s="58" t="s">
        <v>514</v>
      </c>
      <c r="M82" s="65" t="s">
        <v>84</v>
      </c>
      <c r="N82" s="58" t="s">
        <v>515</v>
      </c>
    </row>
    <row r="83" spans="1:14" ht="74.25" customHeight="1">
      <c r="A83" s="52" t="s">
        <v>516</v>
      </c>
      <c r="B83" s="59" t="s">
        <v>500</v>
      </c>
      <c r="C83" s="60" t="s">
        <v>517</v>
      </c>
      <c r="D83" s="60" t="s">
        <v>78</v>
      </c>
      <c r="E83" s="60" t="s">
        <v>113</v>
      </c>
      <c r="F83" s="60" t="s">
        <v>19</v>
      </c>
      <c r="G83" s="60" t="s">
        <v>336</v>
      </c>
      <c r="H83" s="60" t="s">
        <v>518</v>
      </c>
      <c r="I83" s="60" t="s">
        <v>439</v>
      </c>
      <c r="J83" s="60" t="s">
        <v>519</v>
      </c>
      <c r="K83" s="60" t="s">
        <v>513</v>
      </c>
      <c r="L83" s="60" t="s">
        <v>514</v>
      </c>
      <c r="M83" s="66" t="s">
        <v>84</v>
      </c>
      <c r="N83" s="58" t="s">
        <v>515</v>
      </c>
    </row>
    <row r="84" spans="1:14" ht="88.5" customHeight="1">
      <c r="A84" s="52" t="s">
        <v>520</v>
      </c>
      <c r="B84" s="59" t="s">
        <v>500</v>
      </c>
      <c r="C84" s="60" t="s">
        <v>521</v>
      </c>
      <c r="D84" s="60" t="s">
        <v>78</v>
      </c>
      <c r="E84" s="60" t="s">
        <v>113</v>
      </c>
      <c r="F84" s="60" t="s">
        <v>19</v>
      </c>
      <c r="G84" s="60" t="s">
        <v>336</v>
      </c>
      <c r="H84" s="60" t="s">
        <v>522</v>
      </c>
      <c r="I84" s="60" t="s">
        <v>439</v>
      </c>
      <c r="J84" s="60" t="s">
        <v>523</v>
      </c>
      <c r="K84" s="60" t="s">
        <v>513</v>
      </c>
      <c r="L84" s="60" t="s">
        <v>514</v>
      </c>
      <c r="M84" s="66" t="s">
        <v>84</v>
      </c>
      <c r="N84" s="58" t="s">
        <v>515</v>
      </c>
    </row>
    <row r="85" spans="1:14" ht="73.5" customHeight="1">
      <c r="A85" s="52" t="s">
        <v>524</v>
      </c>
      <c r="B85" s="59" t="s">
        <v>500</v>
      </c>
      <c r="C85" s="60" t="s">
        <v>525</v>
      </c>
      <c r="D85" s="60" t="s">
        <v>78</v>
      </c>
      <c r="E85" s="60" t="s">
        <v>113</v>
      </c>
      <c r="F85" s="60" t="s">
        <v>19</v>
      </c>
      <c r="G85" s="60" t="s">
        <v>336</v>
      </c>
      <c r="H85" s="60" t="s">
        <v>526</v>
      </c>
      <c r="I85" s="60" t="s">
        <v>439</v>
      </c>
      <c r="J85" s="60" t="s">
        <v>527</v>
      </c>
      <c r="K85" s="60" t="s">
        <v>513</v>
      </c>
      <c r="L85" s="60" t="s">
        <v>514</v>
      </c>
      <c r="M85" s="66" t="s">
        <v>84</v>
      </c>
      <c r="N85" s="58" t="s">
        <v>515</v>
      </c>
    </row>
    <row r="86" spans="1:14" ht="63.75" customHeight="1">
      <c r="A86" s="52" t="s">
        <v>528</v>
      </c>
      <c r="B86" s="59" t="s">
        <v>500</v>
      </c>
      <c r="C86" s="60" t="s">
        <v>529</v>
      </c>
      <c r="D86" s="60" t="s">
        <v>78</v>
      </c>
      <c r="E86" s="60" t="s">
        <v>113</v>
      </c>
      <c r="F86" s="60" t="s">
        <v>19</v>
      </c>
      <c r="G86" s="60" t="s">
        <v>336</v>
      </c>
      <c r="H86" s="60" t="s">
        <v>530</v>
      </c>
      <c r="I86" s="60" t="s">
        <v>439</v>
      </c>
      <c r="J86" s="60" t="s">
        <v>531</v>
      </c>
      <c r="K86" s="60" t="s">
        <v>532</v>
      </c>
      <c r="L86" s="60" t="s">
        <v>533</v>
      </c>
      <c r="M86" s="66" t="s">
        <v>84</v>
      </c>
      <c r="N86" s="58" t="s">
        <v>515</v>
      </c>
    </row>
    <row r="87" spans="1:14" ht="59.25" customHeight="1">
      <c r="A87" s="52" t="s">
        <v>534</v>
      </c>
      <c r="B87" s="59" t="s">
        <v>500</v>
      </c>
      <c r="C87" s="60" t="s">
        <v>535</v>
      </c>
      <c r="D87" s="60" t="s">
        <v>78</v>
      </c>
      <c r="E87" s="60" t="s">
        <v>113</v>
      </c>
      <c r="F87" s="60" t="s">
        <v>19</v>
      </c>
      <c r="G87" s="60" t="s">
        <v>336</v>
      </c>
      <c r="H87" s="60" t="s">
        <v>536</v>
      </c>
      <c r="I87" s="60" t="s">
        <v>439</v>
      </c>
      <c r="J87" s="60" t="s">
        <v>537</v>
      </c>
      <c r="K87" s="60" t="s">
        <v>513</v>
      </c>
      <c r="L87" s="60" t="s">
        <v>514</v>
      </c>
      <c r="M87" s="66" t="s">
        <v>84</v>
      </c>
      <c r="N87" s="58" t="s">
        <v>515</v>
      </c>
    </row>
    <row r="88" spans="1:14" ht="68.25" customHeight="1">
      <c r="A88" s="52" t="s">
        <v>538</v>
      </c>
      <c r="B88" s="59" t="s">
        <v>500</v>
      </c>
      <c r="C88" s="60" t="s">
        <v>539</v>
      </c>
      <c r="D88" s="60" t="s">
        <v>78</v>
      </c>
      <c r="E88" s="60" t="s">
        <v>113</v>
      </c>
      <c r="F88" s="60" t="s">
        <v>19</v>
      </c>
      <c r="G88" s="60" t="s">
        <v>336</v>
      </c>
      <c r="H88" s="60" t="s">
        <v>540</v>
      </c>
      <c r="I88" s="60" t="s">
        <v>439</v>
      </c>
      <c r="J88" s="60" t="s">
        <v>541</v>
      </c>
      <c r="K88" s="60" t="s">
        <v>513</v>
      </c>
      <c r="L88" s="60" t="s">
        <v>514</v>
      </c>
      <c r="M88" s="66" t="s">
        <v>84</v>
      </c>
      <c r="N88" s="58" t="s">
        <v>515</v>
      </c>
    </row>
    <row r="89" spans="1:14" ht="68.25" customHeight="1">
      <c r="A89" s="52" t="s">
        <v>542</v>
      </c>
      <c r="B89" s="59" t="s">
        <v>500</v>
      </c>
      <c r="C89" s="60" t="s">
        <v>543</v>
      </c>
      <c r="D89" s="60" t="s">
        <v>544</v>
      </c>
      <c r="E89" s="60" t="s">
        <v>113</v>
      </c>
      <c r="F89" s="60" t="s">
        <v>19</v>
      </c>
      <c r="G89" s="60" t="s">
        <v>336</v>
      </c>
      <c r="H89" s="60" t="s">
        <v>251</v>
      </c>
      <c r="I89" s="60" t="s">
        <v>439</v>
      </c>
      <c r="J89" s="60" t="s">
        <v>545</v>
      </c>
      <c r="K89" s="60" t="s">
        <v>467</v>
      </c>
      <c r="L89" s="60" t="s">
        <v>533</v>
      </c>
      <c r="M89" s="66" t="s">
        <v>84</v>
      </c>
      <c r="N89" s="58" t="s">
        <v>515</v>
      </c>
    </row>
    <row r="90" spans="1:14" ht="80.25" customHeight="1">
      <c r="A90" s="52" t="s">
        <v>546</v>
      </c>
      <c r="B90" s="59" t="s">
        <v>500</v>
      </c>
      <c r="C90" s="60" t="s">
        <v>547</v>
      </c>
      <c r="D90" s="60" t="s">
        <v>544</v>
      </c>
      <c r="E90" s="60" t="s">
        <v>113</v>
      </c>
      <c r="F90" s="60" t="s">
        <v>19</v>
      </c>
      <c r="G90" s="60" t="s">
        <v>336</v>
      </c>
      <c r="H90" s="60" t="s">
        <v>548</v>
      </c>
      <c r="I90" s="60" t="s">
        <v>439</v>
      </c>
      <c r="J90" s="60" t="s">
        <v>549</v>
      </c>
      <c r="K90" s="60" t="s">
        <v>550</v>
      </c>
      <c r="L90" s="60" t="s">
        <v>551</v>
      </c>
      <c r="M90" s="66" t="s">
        <v>84</v>
      </c>
      <c r="N90" s="60" t="s">
        <v>552</v>
      </c>
    </row>
    <row r="91" spans="1:14" ht="93" customHeight="1">
      <c r="A91" s="52" t="s">
        <v>553</v>
      </c>
      <c r="B91" s="59" t="s">
        <v>500</v>
      </c>
      <c r="C91" s="60" t="s">
        <v>554</v>
      </c>
      <c r="D91" s="60" t="s">
        <v>544</v>
      </c>
      <c r="E91" s="60" t="s">
        <v>113</v>
      </c>
      <c r="F91" s="60" t="s">
        <v>19</v>
      </c>
      <c r="G91" s="60" t="s">
        <v>336</v>
      </c>
      <c r="H91" s="60" t="s">
        <v>555</v>
      </c>
      <c r="I91" s="60" t="s">
        <v>439</v>
      </c>
      <c r="J91" s="60" t="s">
        <v>556</v>
      </c>
      <c r="K91" s="60" t="s">
        <v>550</v>
      </c>
      <c r="L91" s="60" t="s">
        <v>551</v>
      </c>
      <c r="M91" s="66" t="s">
        <v>84</v>
      </c>
      <c r="N91" s="60" t="s">
        <v>552</v>
      </c>
    </row>
    <row r="92" spans="1:14" ht="81" customHeight="1">
      <c r="A92" s="52" t="s">
        <v>557</v>
      </c>
      <c r="B92" s="59" t="s">
        <v>500</v>
      </c>
      <c r="C92" s="60" t="s">
        <v>558</v>
      </c>
      <c r="D92" s="60" t="s">
        <v>120</v>
      </c>
      <c r="E92" s="60" t="s">
        <v>113</v>
      </c>
      <c r="F92" s="60" t="s">
        <v>19</v>
      </c>
      <c r="G92" s="60" t="s">
        <v>336</v>
      </c>
      <c r="H92" s="60" t="s">
        <v>559</v>
      </c>
      <c r="I92" s="60" t="s">
        <v>439</v>
      </c>
      <c r="J92" s="60" t="s">
        <v>560</v>
      </c>
      <c r="K92" s="60" t="s">
        <v>561</v>
      </c>
      <c r="L92" s="60" t="s">
        <v>562</v>
      </c>
      <c r="M92" s="66" t="s">
        <v>84</v>
      </c>
      <c r="N92" s="60" t="s">
        <v>563</v>
      </c>
    </row>
    <row r="93" spans="1:14" ht="83.25" customHeight="1">
      <c r="A93" s="52" t="s">
        <v>564</v>
      </c>
      <c r="B93" s="59" t="s">
        <v>500</v>
      </c>
      <c r="C93" s="60" t="s">
        <v>565</v>
      </c>
      <c r="D93" s="60" t="s">
        <v>120</v>
      </c>
      <c r="E93" s="60" t="s">
        <v>113</v>
      </c>
      <c r="F93" s="60" t="s">
        <v>19</v>
      </c>
      <c r="G93" s="60" t="s">
        <v>336</v>
      </c>
      <c r="H93" s="60" t="s">
        <v>566</v>
      </c>
      <c r="I93" s="60" t="s">
        <v>439</v>
      </c>
      <c r="J93" s="60" t="s">
        <v>567</v>
      </c>
      <c r="K93" s="60" t="s">
        <v>568</v>
      </c>
      <c r="L93" s="60" t="s">
        <v>434</v>
      </c>
      <c r="M93" s="67" t="s">
        <v>26</v>
      </c>
      <c r="N93" s="60" t="s">
        <v>435</v>
      </c>
    </row>
    <row r="94" spans="1:14" ht="90.75" customHeight="1">
      <c r="A94" s="52" t="s">
        <v>569</v>
      </c>
      <c r="B94" s="59" t="s">
        <v>500</v>
      </c>
      <c r="C94" s="60" t="s">
        <v>570</v>
      </c>
      <c r="D94" s="60" t="s">
        <v>78</v>
      </c>
      <c r="E94" s="60" t="s">
        <v>113</v>
      </c>
      <c r="F94" s="60" t="s">
        <v>19</v>
      </c>
      <c r="G94" s="60" t="s">
        <v>336</v>
      </c>
      <c r="H94" s="60" t="s">
        <v>571</v>
      </c>
      <c r="I94" s="60" t="s">
        <v>439</v>
      </c>
      <c r="J94" s="60" t="s">
        <v>572</v>
      </c>
      <c r="K94" s="60" t="s">
        <v>573</v>
      </c>
      <c r="L94" s="60" t="s">
        <v>574</v>
      </c>
      <c r="M94" s="66" t="s">
        <v>84</v>
      </c>
      <c r="N94" s="60" t="s">
        <v>575</v>
      </c>
    </row>
    <row r="95" spans="1:14" ht="82.5" customHeight="1">
      <c r="A95" s="52" t="s">
        <v>576</v>
      </c>
      <c r="B95" s="59" t="s">
        <v>500</v>
      </c>
      <c r="C95" s="60" t="s">
        <v>577</v>
      </c>
      <c r="D95" s="60" t="s">
        <v>78</v>
      </c>
      <c r="E95" s="60" t="s">
        <v>113</v>
      </c>
      <c r="F95" s="60" t="s">
        <v>19</v>
      </c>
      <c r="G95" s="60" t="s">
        <v>336</v>
      </c>
      <c r="H95" s="60" t="s">
        <v>578</v>
      </c>
      <c r="I95" s="60" t="s">
        <v>439</v>
      </c>
      <c r="J95" s="60" t="s">
        <v>579</v>
      </c>
      <c r="K95" s="60" t="s">
        <v>580</v>
      </c>
      <c r="L95" s="60" t="s">
        <v>581</v>
      </c>
      <c r="M95" s="66" t="s">
        <v>84</v>
      </c>
      <c r="N95" s="60" t="s">
        <v>582</v>
      </c>
    </row>
    <row r="96" spans="1:14" ht="84.75" customHeight="1">
      <c r="A96" s="52" t="s">
        <v>583</v>
      </c>
      <c r="B96" s="59" t="s">
        <v>500</v>
      </c>
      <c r="C96" s="60" t="s">
        <v>584</v>
      </c>
      <c r="D96" s="60" t="s">
        <v>120</v>
      </c>
      <c r="E96" s="60" t="s">
        <v>113</v>
      </c>
      <c r="F96" s="60" t="s">
        <v>19</v>
      </c>
      <c r="G96" s="60" t="s">
        <v>336</v>
      </c>
      <c r="H96" s="60" t="s">
        <v>585</v>
      </c>
      <c r="I96" s="60" t="s">
        <v>439</v>
      </c>
      <c r="J96" s="60" t="s">
        <v>586</v>
      </c>
      <c r="K96" s="60" t="s">
        <v>587</v>
      </c>
      <c r="L96" s="60" t="s">
        <v>588</v>
      </c>
      <c r="M96" s="66" t="s">
        <v>84</v>
      </c>
      <c r="N96" s="60" t="s">
        <v>589</v>
      </c>
    </row>
    <row r="97" spans="1:14" ht="63.75">
      <c r="A97" s="52" t="s">
        <v>590</v>
      </c>
      <c r="B97" s="59" t="s">
        <v>500</v>
      </c>
      <c r="C97" s="60" t="s">
        <v>591</v>
      </c>
      <c r="D97" s="60" t="s">
        <v>592</v>
      </c>
      <c r="E97" s="60" t="s">
        <v>113</v>
      </c>
      <c r="F97" s="60" t="s">
        <v>19</v>
      </c>
      <c r="G97" s="60" t="s">
        <v>336</v>
      </c>
      <c r="H97" s="60" t="s">
        <v>593</v>
      </c>
      <c r="I97" s="60" t="s">
        <v>439</v>
      </c>
      <c r="J97" s="60" t="s">
        <v>594</v>
      </c>
      <c r="K97" s="60" t="s">
        <v>595</v>
      </c>
      <c r="L97" s="60" t="s">
        <v>434</v>
      </c>
      <c r="M97" s="67" t="s">
        <v>26</v>
      </c>
      <c r="N97" s="60" t="s">
        <v>435</v>
      </c>
    </row>
    <row r="98" spans="1:14" ht="63.75">
      <c r="A98" s="52" t="s">
        <v>596</v>
      </c>
      <c r="B98" s="59" t="s">
        <v>500</v>
      </c>
      <c r="C98" s="60" t="s">
        <v>597</v>
      </c>
      <c r="D98" s="60" t="s">
        <v>488</v>
      </c>
      <c r="E98" s="60" t="s">
        <v>113</v>
      </c>
      <c r="F98" s="60" t="s">
        <v>19</v>
      </c>
      <c r="G98" s="60" t="s">
        <v>336</v>
      </c>
      <c r="H98" s="60" t="s">
        <v>502</v>
      </c>
      <c r="I98" s="60" t="s">
        <v>439</v>
      </c>
      <c r="J98" s="60" t="s">
        <v>598</v>
      </c>
      <c r="K98" s="60" t="s">
        <v>599</v>
      </c>
      <c r="L98" s="60" t="s">
        <v>434</v>
      </c>
      <c r="M98" s="67" t="s">
        <v>26</v>
      </c>
      <c r="N98" s="60" t="s">
        <v>435</v>
      </c>
    </row>
    <row r="99" spans="1:14">
      <c r="A99" s="52"/>
    </row>
    <row r="100" spans="1:14">
      <c r="A100" s="52"/>
    </row>
  </sheetData>
  <autoFilter ref="A1:N54"/>
  <conditionalFormatting sqref="M1:M54 M99:M65536">
    <cfRule type="cellIs" dxfId="3" priority="3" operator="equal">
      <formula>$M$10</formula>
    </cfRule>
    <cfRule type="cellIs" dxfId="2" priority="4" operator="equal">
      <formula>$M$2</formula>
    </cfRule>
  </conditionalFormatting>
  <conditionalFormatting sqref="M55">
    <cfRule type="cellIs" dxfId="1" priority="1" operator="equal">
      <formula>$M$10</formula>
    </cfRule>
    <cfRule type="cellIs" dxfId="0" priority="2" operator="equal">
      <formula>$M$2</formula>
    </cfRule>
  </conditionalFormatting>
  <dataValidations count="3">
    <dataValidation type="list" allowBlank="1" sqref="D2:D21 D55">
      <formula1>"Positive,Negative,Boundary,Security,Performance,Validation,E2E"</formula1>
      <formula2>0</formula2>
    </dataValidation>
    <dataValidation type="list" allowBlank="1" sqref="M2:M27 M52 M55">
      <formula1>"Pass,Fail,Blocked,Not Run"</formula1>
      <formula2>0</formula2>
    </dataValidation>
    <dataValidation type="list" allowBlank="1" sqref="E2:E21 E55">
      <formula1>"GET,POST,PUT,PATCH,DELETE"</formula1>
      <formula2>0</formula2>
    </dataValidation>
  </dataValidations>
  <hyperlinks>
    <hyperlink ref="F10" r:id="rId1"/>
    <hyperlink ref="F12" r:id="rId2"/>
    <hyperlink ref="F17" r:id="rId3"/>
    <hyperlink ref="F19" r:id="rId4"/>
    <hyperlink ref="F55" r:id="rId5"/>
  </hyperlinks>
  <pageMargins left="0.75" right="0.75" top="1" bottom="1" header="0.511811023622047" footer="0.511811023622047"/>
  <pageSetup paperSize="9" orientation="portrait" horizontalDpi="300" verticalDpi="300"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topLeftCell="F7" zoomScale="89" zoomScaleNormal="89" workbookViewId="0">
      <selection activeCell="F8" sqref="A8:XFD8"/>
    </sheetView>
  </sheetViews>
  <sheetFormatPr defaultRowHeight="15"/>
  <cols>
    <col min="1" max="1" width="16.5703125" customWidth="1"/>
    <col min="2" max="2" width="21.28515625" customWidth="1"/>
    <col min="3" max="3" width="48.5703125" customWidth="1"/>
    <col min="4" max="4" width="28.7109375" customWidth="1"/>
    <col min="5" max="5" width="47.42578125" customWidth="1"/>
    <col min="6" max="6" width="71" customWidth="1"/>
    <col min="7" max="7" width="36.140625" customWidth="1"/>
    <col min="8" max="9" width="26.42578125" customWidth="1"/>
    <col min="10" max="10" width="14.42578125" customWidth="1"/>
    <col min="11" max="11" width="14.7109375" customWidth="1"/>
    <col min="12" max="12" width="16.42578125" customWidth="1"/>
    <col min="13" max="13" width="34.7109375" customWidth="1"/>
  </cols>
  <sheetData>
    <row r="1" spans="1:13" ht="27" customHeight="1">
      <c r="A1" s="25" t="s">
        <v>13</v>
      </c>
      <c r="B1" s="25" t="s">
        <v>600</v>
      </c>
      <c r="C1" s="25" t="s">
        <v>1</v>
      </c>
      <c r="D1" s="25" t="s">
        <v>601</v>
      </c>
      <c r="E1" s="25" t="s">
        <v>602</v>
      </c>
      <c r="F1" s="25" t="s">
        <v>603</v>
      </c>
      <c r="G1" s="25" t="s">
        <v>604</v>
      </c>
      <c r="H1" s="25" t="s">
        <v>605</v>
      </c>
      <c r="I1" s="25" t="s">
        <v>606</v>
      </c>
      <c r="J1" s="25" t="s">
        <v>607</v>
      </c>
      <c r="K1" s="25" t="s">
        <v>608</v>
      </c>
      <c r="L1" s="26" t="s">
        <v>3</v>
      </c>
      <c r="M1" s="25" t="s">
        <v>609</v>
      </c>
    </row>
    <row r="2" spans="1:13" ht="120" customHeight="1">
      <c r="A2" s="42" t="s">
        <v>85</v>
      </c>
      <c r="B2" s="42" t="s">
        <v>610</v>
      </c>
      <c r="C2" s="42" t="s">
        <v>611</v>
      </c>
      <c r="D2" s="43" t="s">
        <v>612</v>
      </c>
      <c r="E2" s="43" t="s">
        <v>613</v>
      </c>
      <c r="F2" s="43" t="s">
        <v>614</v>
      </c>
      <c r="G2" s="43" t="s">
        <v>81</v>
      </c>
      <c r="H2" s="44" t="s">
        <v>82</v>
      </c>
      <c r="I2" s="44" t="s">
        <v>83</v>
      </c>
      <c r="J2" s="42" t="s">
        <v>615</v>
      </c>
      <c r="K2" s="42" t="s">
        <v>615</v>
      </c>
      <c r="L2" s="45" t="s">
        <v>78</v>
      </c>
      <c r="M2" s="43" t="s">
        <v>616</v>
      </c>
    </row>
    <row r="3" spans="1:13" ht="145.5" customHeight="1">
      <c r="A3" s="42" t="s">
        <v>143</v>
      </c>
      <c r="B3" s="42" t="s">
        <v>617</v>
      </c>
      <c r="C3" s="42" t="s">
        <v>611</v>
      </c>
      <c r="D3" s="43" t="s">
        <v>618</v>
      </c>
      <c r="E3" s="43" t="s">
        <v>619</v>
      </c>
      <c r="F3" s="43" t="s">
        <v>620</v>
      </c>
      <c r="G3" s="43" t="s">
        <v>141</v>
      </c>
      <c r="H3" s="44" t="s">
        <v>82</v>
      </c>
      <c r="I3" s="44" t="s">
        <v>142</v>
      </c>
      <c r="J3" s="42" t="s">
        <v>621</v>
      </c>
      <c r="K3" s="42" t="s">
        <v>621</v>
      </c>
      <c r="L3" s="44" t="s">
        <v>120</v>
      </c>
      <c r="M3" s="43" t="s">
        <v>622</v>
      </c>
    </row>
    <row r="4" spans="1:13" ht="140.25" customHeight="1">
      <c r="A4" s="42" t="s">
        <v>265</v>
      </c>
      <c r="B4" s="42" t="s">
        <v>623</v>
      </c>
      <c r="C4" s="42" t="s">
        <v>624</v>
      </c>
      <c r="D4" s="43" t="s">
        <v>625</v>
      </c>
      <c r="E4" s="43" t="s">
        <v>626</v>
      </c>
      <c r="F4" s="43" t="s">
        <v>627</v>
      </c>
      <c r="G4" s="43" t="s">
        <v>262</v>
      </c>
      <c r="H4" s="44" t="s">
        <v>263</v>
      </c>
      <c r="I4" s="44" t="s">
        <v>264</v>
      </c>
      <c r="J4" s="42" t="s">
        <v>621</v>
      </c>
      <c r="K4" s="42" t="s">
        <v>621</v>
      </c>
      <c r="L4" s="44" t="s">
        <v>120</v>
      </c>
      <c r="M4" s="43" t="s">
        <v>628</v>
      </c>
    </row>
    <row r="5" spans="1:13" ht="158.25" customHeight="1">
      <c r="A5" s="42" t="s">
        <v>272</v>
      </c>
      <c r="B5" s="42" t="s">
        <v>629</v>
      </c>
      <c r="C5" s="42" t="s">
        <v>630</v>
      </c>
      <c r="D5" s="43" t="s">
        <v>631</v>
      </c>
      <c r="E5" s="43" t="s">
        <v>632</v>
      </c>
      <c r="F5" s="43" t="s">
        <v>633</v>
      </c>
      <c r="G5" s="43" t="s">
        <v>269</v>
      </c>
      <c r="H5" s="44" t="s">
        <v>270</v>
      </c>
      <c r="I5" s="44" t="s">
        <v>271</v>
      </c>
      <c r="J5" s="42" t="s">
        <v>621</v>
      </c>
      <c r="K5" s="42" t="s">
        <v>621</v>
      </c>
      <c r="L5" s="44" t="s">
        <v>120</v>
      </c>
      <c r="M5" s="43" t="s">
        <v>634</v>
      </c>
    </row>
    <row r="6" spans="1:13" ht="157.5" customHeight="1">
      <c r="A6" s="42" t="s">
        <v>283</v>
      </c>
      <c r="B6" s="42" t="s">
        <v>635</v>
      </c>
      <c r="C6" s="42" t="s">
        <v>636</v>
      </c>
      <c r="D6" s="43" t="s">
        <v>637</v>
      </c>
      <c r="E6" s="43" t="s">
        <v>638</v>
      </c>
      <c r="F6" s="43" t="s">
        <v>639</v>
      </c>
      <c r="G6" s="43" t="s">
        <v>281</v>
      </c>
      <c r="H6" s="44" t="s">
        <v>640</v>
      </c>
      <c r="I6" s="44" t="s">
        <v>142</v>
      </c>
      <c r="J6" s="42" t="s">
        <v>621</v>
      </c>
      <c r="K6" s="42" t="s">
        <v>621</v>
      </c>
      <c r="L6" s="44" t="s">
        <v>146</v>
      </c>
      <c r="M6" s="43" t="s">
        <v>641</v>
      </c>
    </row>
    <row r="7" spans="1:13" ht="155.25" customHeight="1">
      <c r="A7" s="42" t="s">
        <v>353</v>
      </c>
      <c r="B7" s="44" t="s">
        <v>348</v>
      </c>
      <c r="C7" s="42" t="s">
        <v>611</v>
      </c>
      <c r="D7" s="43" t="s">
        <v>642</v>
      </c>
      <c r="E7" s="43" t="s">
        <v>643</v>
      </c>
      <c r="F7" s="43" t="s">
        <v>644</v>
      </c>
      <c r="G7" s="44" t="s">
        <v>352</v>
      </c>
      <c r="H7" s="44" t="s">
        <v>82</v>
      </c>
      <c r="I7" s="44" t="s">
        <v>142</v>
      </c>
      <c r="J7" s="46" t="s">
        <v>615</v>
      </c>
      <c r="K7" s="46" t="s">
        <v>615</v>
      </c>
      <c r="L7" s="46" t="s">
        <v>645</v>
      </c>
      <c r="M7" s="43" t="s">
        <v>646</v>
      </c>
    </row>
    <row r="8" spans="1:13" s="113" customFormat="1" ht="75">
      <c r="A8" s="110" t="s">
        <v>364</v>
      </c>
      <c r="B8" s="109" t="s">
        <v>647</v>
      </c>
      <c r="C8" s="110" t="s">
        <v>648</v>
      </c>
      <c r="D8" s="111" t="s">
        <v>649</v>
      </c>
      <c r="E8" s="111" t="s">
        <v>650</v>
      </c>
      <c r="F8" s="111" t="s">
        <v>651</v>
      </c>
      <c r="G8" s="109" t="s">
        <v>652</v>
      </c>
      <c r="H8" s="109" t="s">
        <v>653</v>
      </c>
      <c r="I8" s="109" t="s">
        <v>654</v>
      </c>
      <c r="J8" s="112" t="s">
        <v>621</v>
      </c>
      <c r="K8" s="112" t="s">
        <v>621</v>
      </c>
      <c r="L8" s="112" t="s">
        <v>645</v>
      </c>
      <c r="M8" s="111" t="s">
        <v>655</v>
      </c>
    </row>
    <row r="9" spans="1:13" ht="76.5">
      <c r="A9" s="48" t="s">
        <v>443</v>
      </c>
      <c r="B9" s="49" t="s">
        <v>656</v>
      </c>
      <c r="C9" s="49" t="s">
        <v>429</v>
      </c>
      <c r="D9" s="49" t="s">
        <v>657</v>
      </c>
      <c r="E9" s="49" t="s">
        <v>658</v>
      </c>
      <c r="F9" s="49" t="s">
        <v>659</v>
      </c>
      <c r="G9" s="49" t="s">
        <v>660</v>
      </c>
      <c r="H9" s="49" t="s">
        <v>661</v>
      </c>
      <c r="I9" s="49" t="s">
        <v>662</v>
      </c>
      <c r="J9" s="49" t="s">
        <v>621</v>
      </c>
      <c r="K9" s="49" t="s">
        <v>621</v>
      </c>
      <c r="L9" s="49" t="s">
        <v>78</v>
      </c>
      <c r="M9" s="49" t="s">
        <v>663</v>
      </c>
    </row>
    <row r="10" spans="1:13" ht="76.5">
      <c r="A10" s="52" t="s">
        <v>459</v>
      </c>
      <c r="B10" s="53" t="s">
        <v>664</v>
      </c>
      <c r="C10" s="53" t="s">
        <v>429</v>
      </c>
      <c r="D10" s="53" t="s">
        <v>665</v>
      </c>
      <c r="E10" s="53" t="s">
        <v>666</v>
      </c>
      <c r="F10" s="53" t="s">
        <v>659</v>
      </c>
      <c r="G10" s="53" t="s">
        <v>667</v>
      </c>
      <c r="H10" s="53" t="s">
        <v>668</v>
      </c>
      <c r="I10" s="53" t="s">
        <v>669</v>
      </c>
      <c r="J10" s="53" t="s">
        <v>621</v>
      </c>
      <c r="K10" s="53" t="s">
        <v>615</v>
      </c>
      <c r="L10" s="53" t="s">
        <v>454</v>
      </c>
      <c r="M10" s="53" t="s">
        <v>670</v>
      </c>
    </row>
    <row r="11" spans="1:13" ht="76.5">
      <c r="A11" s="52" t="s">
        <v>479</v>
      </c>
      <c r="B11" s="53" t="s">
        <v>473</v>
      </c>
      <c r="C11" s="53" t="s">
        <v>429</v>
      </c>
      <c r="D11" s="53" t="s">
        <v>671</v>
      </c>
      <c r="E11" s="53" t="s">
        <v>672</v>
      </c>
      <c r="F11" s="53" t="s">
        <v>659</v>
      </c>
      <c r="G11" s="53" t="s">
        <v>673</v>
      </c>
      <c r="H11" s="53" t="s">
        <v>550</v>
      </c>
      <c r="I11" s="53" t="s">
        <v>551</v>
      </c>
      <c r="J11" s="53" t="s">
        <v>615</v>
      </c>
      <c r="K11" s="53" t="s">
        <v>615</v>
      </c>
      <c r="L11" s="53" t="s">
        <v>120</v>
      </c>
      <c r="M11" s="53" t="s">
        <v>674</v>
      </c>
    </row>
    <row r="12" spans="1:13" ht="76.5">
      <c r="A12" s="52" t="s">
        <v>498</v>
      </c>
      <c r="B12" s="53" t="s">
        <v>492</v>
      </c>
      <c r="C12" s="53" t="s">
        <v>429</v>
      </c>
      <c r="D12" s="53" t="s">
        <v>675</v>
      </c>
      <c r="E12" s="53" t="s">
        <v>676</v>
      </c>
      <c r="F12" s="53" t="s">
        <v>677</v>
      </c>
      <c r="G12" s="53" t="s">
        <v>678</v>
      </c>
      <c r="H12" s="53" t="s">
        <v>496</v>
      </c>
      <c r="I12" s="53" t="s">
        <v>679</v>
      </c>
      <c r="J12" s="53" t="s">
        <v>680</v>
      </c>
      <c r="K12" s="53" t="s">
        <v>680</v>
      </c>
      <c r="L12" s="53" t="s">
        <v>78</v>
      </c>
      <c r="M12" s="53" t="s">
        <v>681</v>
      </c>
    </row>
    <row r="13" spans="1:13" ht="102">
      <c r="A13" s="57" t="s">
        <v>515</v>
      </c>
      <c r="B13" s="58" t="s">
        <v>682</v>
      </c>
      <c r="C13" s="58" t="s">
        <v>500</v>
      </c>
      <c r="D13" s="58" t="s">
        <v>683</v>
      </c>
      <c r="E13" s="58" t="s">
        <v>684</v>
      </c>
      <c r="F13" s="58" t="s">
        <v>685</v>
      </c>
      <c r="G13" s="58" t="s">
        <v>686</v>
      </c>
      <c r="H13" s="58" t="s">
        <v>687</v>
      </c>
      <c r="I13" s="58" t="s">
        <v>688</v>
      </c>
      <c r="J13" s="68" t="s">
        <v>689</v>
      </c>
      <c r="K13" s="58" t="s">
        <v>621</v>
      </c>
      <c r="L13" s="58" t="s">
        <v>454</v>
      </c>
      <c r="M13" s="58" t="s">
        <v>690</v>
      </c>
    </row>
    <row r="14" spans="1:13" ht="76.5">
      <c r="A14" s="59" t="s">
        <v>552</v>
      </c>
      <c r="B14" s="60" t="s">
        <v>691</v>
      </c>
      <c r="C14" s="60" t="s">
        <v>500</v>
      </c>
      <c r="D14" s="60" t="s">
        <v>692</v>
      </c>
      <c r="E14" s="60" t="s">
        <v>693</v>
      </c>
      <c r="F14" s="60" t="s">
        <v>685</v>
      </c>
      <c r="G14" s="60" t="s">
        <v>694</v>
      </c>
      <c r="H14" s="60" t="s">
        <v>550</v>
      </c>
      <c r="I14" s="60" t="s">
        <v>551</v>
      </c>
      <c r="J14" s="69" t="s">
        <v>615</v>
      </c>
      <c r="K14" s="60" t="s">
        <v>615</v>
      </c>
      <c r="L14" s="60" t="s">
        <v>120</v>
      </c>
      <c r="M14" s="60" t="s">
        <v>695</v>
      </c>
    </row>
    <row r="15" spans="1:13" ht="76.5">
      <c r="A15" s="59" t="s">
        <v>563</v>
      </c>
      <c r="B15" s="60" t="s">
        <v>557</v>
      </c>
      <c r="C15" s="60" t="s">
        <v>500</v>
      </c>
      <c r="D15" s="60" t="s">
        <v>696</v>
      </c>
      <c r="E15" s="60" t="s">
        <v>697</v>
      </c>
      <c r="F15" s="60" t="s">
        <v>685</v>
      </c>
      <c r="G15" s="60" t="s">
        <v>560</v>
      </c>
      <c r="H15" s="60" t="s">
        <v>561</v>
      </c>
      <c r="I15" s="60" t="s">
        <v>562</v>
      </c>
      <c r="J15" s="69" t="s">
        <v>615</v>
      </c>
      <c r="K15" s="60" t="s">
        <v>615</v>
      </c>
      <c r="L15" s="60" t="s">
        <v>120</v>
      </c>
      <c r="M15" s="60" t="s">
        <v>698</v>
      </c>
    </row>
    <row r="16" spans="1:13" ht="76.5">
      <c r="A16" s="59" t="s">
        <v>575</v>
      </c>
      <c r="B16" s="60" t="s">
        <v>569</v>
      </c>
      <c r="C16" s="60" t="s">
        <v>500</v>
      </c>
      <c r="D16" s="60" t="s">
        <v>699</v>
      </c>
      <c r="E16" s="60" t="s">
        <v>700</v>
      </c>
      <c r="F16" s="60" t="s">
        <v>685</v>
      </c>
      <c r="G16" s="60" t="s">
        <v>572</v>
      </c>
      <c r="H16" s="60" t="s">
        <v>573</v>
      </c>
      <c r="I16" s="60" t="s">
        <v>701</v>
      </c>
      <c r="J16" s="69" t="s">
        <v>621</v>
      </c>
      <c r="K16" s="60" t="s">
        <v>615</v>
      </c>
      <c r="L16" s="60" t="s">
        <v>78</v>
      </c>
      <c r="M16" s="60" t="s">
        <v>702</v>
      </c>
    </row>
    <row r="17" spans="1:13" ht="117.75" customHeight="1">
      <c r="A17" s="71" t="s">
        <v>582</v>
      </c>
      <c r="B17" s="72" t="s">
        <v>703</v>
      </c>
      <c r="C17" s="72" t="s">
        <v>500</v>
      </c>
      <c r="D17" s="72" t="s">
        <v>704</v>
      </c>
      <c r="E17" s="72" t="s">
        <v>705</v>
      </c>
      <c r="F17" s="72" t="s">
        <v>685</v>
      </c>
      <c r="G17" s="72" t="s">
        <v>706</v>
      </c>
      <c r="H17" s="72" t="s">
        <v>707</v>
      </c>
      <c r="I17" s="72" t="s">
        <v>708</v>
      </c>
      <c r="J17" s="69" t="s">
        <v>621</v>
      </c>
      <c r="K17" s="60" t="s">
        <v>615</v>
      </c>
      <c r="L17" s="72" t="s">
        <v>709</v>
      </c>
      <c r="M17" s="72" t="s">
        <v>710</v>
      </c>
    </row>
    <row r="18" spans="1:13" ht="76.5">
      <c r="A18" s="59" t="s">
        <v>589</v>
      </c>
      <c r="B18" s="60" t="s">
        <v>583</v>
      </c>
      <c r="C18" s="60" t="s">
        <v>500</v>
      </c>
      <c r="D18" s="60" t="s">
        <v>711</v>
      </c>
      <c r="E18" s="60" t="s">
        <v>712</v>
      </c>
      <c r="F18" s="60" t="s">
        <v>685</v>
      </c>
      <c r="G18" s="60" t="s">
        <v>713</v>
      </c>
      <c r="H18" s="60" t="s">
        <v>587</v>
      </c>
      <c r="I18" s="60" t="s">
        <v>588</v>
      </c>
      <c r="J18" s="69" t="s">
        <v>680</v>
      </c>
      <c r="K18" s="60" t="s">
        <v>680</v>
      </c>
      <c r="L18" s="60" t="s">
        <v>120</v>
      </c>
      <c r="M18" s="60" t="s">
        <v>714</v>
      </c>
    </row>
    <row r="19" spans="1:13" ht="81.75" customHeight="1">
      <c r="A19" s="59" t="s">
        <v>723</v>
      </c>
      <c r="B19" s="18" t="s">
        <v>331</v>
      </c>
      <c r="C19" s="22" t="s">
        <v>332</v>
      </c>
      <c r="D19" s="60" t="s">
        <v>715</v>
      </c>
      <c r="E19" s="60" t="s">
        <v>716</v>
      </c>
      <c r="F19" s="60" t="s">
        <v>685</v>
      </c>
      <c r="G19" s="22" t="s">
        <v>717</v>
      </c>
      <c r="H19" s="22" t="s">
        <v>718</v>
      </c>
      <c r="I19" s="22" t="s">
        <v>719</v>
      </c>
      <c r="J19" s="73" t="s">
        <v>720</v>
      </c>
      <c r="K19" s="73" t="s">
        <v>720</v>
      </c>
      <c r="L19" s="73" t="s">
        <v>721</v>
      </c>
      <c r="M19" s="73" t="s">
        <v>722</v>
      </c>
    </row>
  </sheetData>
  <dataValidations count="1">
    <dataValidation type="list" allowBlank="1" sqref="L2:L3">
      <formula1>"Positive,Negative,Boundary,Security,Performance,Validation,E2E"</formula1>
      <formula2>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Report </vt:lpstr>
      <vt:lpstr>API Test Cases</vt:lpstr>
      <vt:lpstr>Bug Report </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Sahar dwaikat</cp:lastModifiedBy>
  <cp:revision>0</cp:revision>
  <dcterms:created xsi:type="dcterms:W3CDTF">2026-08-15T09:44:35Z</dcterms:created>
  <dcterms:modified xsi:type="dcterms:W3CDTF">2026-08-21T09:34:28Z</dcterms:modified>
  <cp:category/>
  <cp:contentStatus/>
</cp:coreProperties>
</file>